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оронка" sheetId="1" state="visible" r:id="rId3"/>
    <sheet name="Сводная" sheetId="2" state="visible" r:id="rId4"/>
    <sheet name="Качество данных" sheetId="3" state="visible" r:id="rId5"/>
    <sheet name="Параметр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<sst xmlns="http://schemas.openxmlformats.org/spreadsheetml/2006/main" count="5242" uniqueCount="1795">
  <si>
    <t xml:space="preserve">Воронка продаж, июнь — август 2026</t>
  </si>
  <si>
    <t xml:space="preserve">Все формулы считаются по листу «Сводная» (только строки с «В воронке» = 1). Дубли и переданные лиды учтены один раз.</t>
  </si>
  <si>
    <t xml:space="preserve">Общая воронка</t>
  </si>
  <si>
    <t xml:space="preserve">Этап</t>
  </si>
  <si>
    <t xml:space="preserve">Клиентов</t>
  </si>
  <si>
    <t xml:space="preserve">Конверсия из пред. этапа</t>
  </si>
  <si>
    <t xml:space="preserve">Конверсия из лида</t>
  </si>
  <si>
    <t xml:space="preserve">Потеряно на этапе</t>
  </si>
  <si>
    <t xml:space="preserve">Лиды</t>
  </si>
  <si>
    <t xml:space="preserve">Контакт</t>
  </si>
  <si>
    <t xml:space="preserve">Замер</t>
  </si>
  <si>
    <t xml:space="preserve">КП</t>
  </si>
  <si>
    <t xml:space="preserve">Оплата</t>
  </si>
  <si>
    <t xml:space="preserve">Деньги, MDL</t>
  </si>
  <si>
    <t xml:space="preserve">Сумма выставленных КП</t>
  </si>
  <si>
    <t xml:space="preserve">Оплачено</t>
  </si>
  <si>
    <t xml:space="preserve">Средний чек оплаты</t>
  </si>
  <si>
    <t xml:space="preserve">В работе: КП отправлено, статус «Думает»/«Договор»</t>
  </si>
  <si>
    <t xml:space="preserve">Сделок в работе (шт.)</t>
  </si>
  <si>
    <t xml:space="preserve">Конверсия КП → оплата по деньгам</t>
  </si>
  <si>
    <t xml:space="preserve">По менеджерам</t>
  </si>
  <si>
    <t xml:space="preserve">Лид→Контакт</t>
  </si>
  <si>
    <t xml:space="preserve">Контакт→Замер</t>
  </si>
  <si>
    <t xml:space="preserve">Замер→КП</t>
  </si>
  <si>
    <t xml:space="preserve">КП→Оплата</t>
  </si>
  <si>
    <t xml:space="preserve">Лид→Оплата</t>
  </si>
  <si>
    <t xml:space="preserve">Оплачено, MDL</t>
  </si>
  <si>
    <t xml:space="preserve">Средний чек, MDL</t>
  </si>
  <si>
    <t xml:space="preserve">Наталья</t>
  </si>
  <si>
    <t xml:space="preserve">Ион</t>
  </si>
  <si>
    <t xml:space="preserve">Андрей</t>
  </si>
  <si>
    <t xml:space="preserve">Итого</t>
  </si>
  <si>
    <t xml:space="preserve">По месяцу поступления лида (6 = июнь, 7 = июль, 8 = август)</t>
  </si>
  <si>
    <t xml:space="preserve">По источникам</t>
  </si>
  <si>
    <t xml:space="preserve">Instagram</t>
  </si>
  <si>
    <t xml:space="preserve">999.md</t>
  </si>
  <si>
    <t xml:space="preserve">Рекомендация</t>
  </si>
  <si>
    <t xml:space="preserve">Входящий звонок</t>
  </si>
  <si>
    <t xml:space="preserve">Facebook</t>
  </si>
  <si>
    <t xml:space="preserve">Не указан</t>
  </si>
  <si>
    <t xml:space="preserve">Месяц — по дате поступления лида (когортный взгляд): оплата лида, пришедшего в июле, засчитывается июлю, даже если деньги пришли в августе.</t>
  </si>
  <si>
    <t xml:space="preserve">№</t>
  </si>
  <si>
    <t xml:space="preserve">Менеджер</t>
  </si>
  <si>
    <t xml:space="preserve">Исходный лист, строка</t>
  </si>
  <si>
    <t xml:space="preserve">Дата лида</t>
  </si>
  <si>
    <t xml:space="preserve">Месяц</t>
  </si>
  <si>
    <t xml:space="preserve">Клиент</t>
  </si>
  <si>
    <t xml:space="preserve">Телефон (норм.)</t>
  </si>
  <si>
    <t xml:space="preserve">Город</t>
  </si>
  <si>
    <t xml:space="preserve">Источник</t>
  </si>
  <si>
    <t xml:space="preserve">Источник (как записано)</t>
  </si>
  <si>
    <t xml:space="preserve">Что</t>
  </si>
  <si>
    <t xml:space="preserve">Дата замера</t>
  </si>
  <si>
    <t xml:space="preserve">Дата КП</t>
  </si>
  <si>
    <t xml:space="preserve">Сумма (как записано)</t>
  </si>
  <si>
    <t xml:space="preserve">Сумма, число</t>
  </si>
  <si>
    <t xml:space="preserve">Валюта</t>
  </si>
  <si>
    <t xml:space="preserve">Сумма, MDL</t>
  </si>
  <si>
    <t xml:space="preserve">Статус</t>
  </si>
  <si>
    <t xml:space="preserve">Статус (как записано)</t>
  </si>
  <si>
    <t xml:space="preserve">Дата оплаты</t>
  </si>
  <si>
    <t xml:space="preserve">В воронке</t>
  </si>
  <si>
    <t xml:space="preserve">Почему исключено</t>
  </si>
  <si>
    <t xml:space="preserve">Замечания к данным</t>
  </si>
  <si>
    <t xml:space="preserve">Комментарий менеджера</t>
  </si>
  <si>
    <t xml:space="preserve">Ion, стр. 2</t>
  </si>
  <si>
    <t xml:space="preserve">Людмила Волкова</t>
  </si>
  <si>
    <t xml:space="preserve">60050594</t>
  </si>
  <si>
    <t xml:space="preserve">Comrat</t>
  </si>
  <si>
    <t xml:space="preserve">звонок</t>
  </si>
  <si>
    <t xml:space="preserve">fereastră 2 canate</t>
  </si>
  <si>
    <t xml:space="preserve">Отказ</t>
  </si>
  <si>
    <t xml:space="preserve">отказ</t>
  </si>
  <si>
    <t xml:space="preserve">ремонт перенесли, sună după ora 18</t>
  </si>
  <si>
    <t xml:space="preserve">Андрей, стр. 5</t>
  </si>
  <si>
    <t xml:space="preserve">Ольга Шевченко</t>
  </si>
  <si>
    <t xml:space="preserve">60023030</t>
  </si>
  <si>
    <t xml:space="preserve">КИШИНЕВ</t>
  </si>
  <si>
    <t xml:space="preserve">fb</t>
  </si>
  <si>
    <t xml:space="preserve">3 окна + балкон</t>
  </si>
  <si>
    <t xml:space="preserve">Не дозвонились</t>
  </si>
  <si>
    <t xml:space="preserve">не дозвон</t>
  </si>
  <si>
    <t xml:space="preserve">Андрей, стр. 6</t>
  </si>
  <si>
    <t xml:space="preserve">Ана</t>
  </si>
  <si>
    <t xml:space="preserve">60035437</t>
  </si>
  <si>
    <t xml:space="preserve">кшн</t>
  </si>
  <si>
    <t xml:space="preserve">тел.</t>
  </si>
  <si>
    <t xml:space="preserve">лоджия</t>
  </si>
  <si>
    <t xml:space="preserve">24200</t>
  </si>
  <si>
    <t xml:space="preserve">MDL</t>
  </si>
  <si>
    <t xml:space="preserve">Думает</t>
  </si>
  <si>
    <t xml:space="preserve">перезвонить</t>
  </si>
  <si>
    <t xml:space="preserve">хочет скидку</t>
  </si>
  <si>
    <t xml:space="preserve">Наталья, стр. 2</t>
  </si>
  <si>
    <t xml:space="preserve">Бежан Ана</t>
  </si>
  <si>
    <t xml:space="preserve">60058677</t>
  </si>
  <si>
    <t xml:space="preserve">Кишинев</t>
  </si>
  <si>
    <t xml:space="preserve">инста</t>
  </si>
  <si>
    <t xml:space="preserve">Частный дом, все окна</t>
  </si>
  <si>
    <t xml:space="preserve">128100</t>
  </si>
  <si>
    <t xml:space="preserve">Наталья, стр. 3</t>
  </si>
  <si>
    <t xml:space="preserve">Ротару Ана</t>
  </si>
  <si>
    <t xml:space="preserve">60039834</t>
  </si>
  <si>
    <t xml:space="preserve">Кишинёв, Ботаника</t>
  </si>
  <si>
    <t xml:space="preserve">Окно двухстворчатое</t>
  </si>
  <si>
    <t xml:space="preserve">9000</t>
  </si>
  <si>
    <t xml:space="preserve">повторный клиент</t>
  </si>
  <si>
    <t xml:space="preserve">Наталья, стр. 4</t>
  </si>
  <si>
    <t xml:space="preserve">Шевченко Лариса</t>
  </si>
  <si>
    <t xml:space="preserve">60029561</t>
  </si>
  <si>
    <t xml:space="preserve">Подоконники</t>
  </si>
  <si>
    <t xml:space="preserve">Ion, стр. 3</t>
  </si>
  <si>
    <t xml:space="preserve">Mirabel Studio S.R.L.</t>
  </si>
  <si>
    <t xml:space="preserve">22090758</t>
  </si>
  <si>
    <t xml:space="preserve">Chisinau</t>
  </si>
  <si>
    <t xml:space="preserve">apel</t>
  </si>
  <si>
    <t xml:space="preserve">depozit</t>
  </si>
  <si>
    <t xml:space="preserve">nu răspunde</t>
  </si>
  <si>
    <t xml:space="preserve">Ion, стр. 4</t>
  </si>
  <si>
    <t xml:space="preserve">Галина Кравченко</t>
  </si>
  <si>
    <t xml:space="preserve">60034250</t>
  </si>
  <si>
    <t xml:space="preserve">Chișinău, sec. Centru</t>
  </si>
  <si>
    <t xml:space="preserve">8 500</t>
  </si>
  <si>
    <t xml:space="preserve">se gândește</t>
  </si>
  <si>
    <t xml:space="preserve">нужен монтаж в субботу</t>
  </si>
  <si>
    <t xml:space="preserve">Ion, стр. 5</t>
  </si>
  <si>
    <t xml:space="preserve">Galina Belova</t>
  </si>
  <si>
    <t xml:space="preserve">60034817</t>
  </si>
  <si>
    <t xml:space="preserve">окна квартира</t>
  </si>
  <si>
    <t xml:space="preserve">Андрей, стр. 7</t>
  </si>
  <si>
    <t xml:space="preserve">Игорь</t>
  </si>
  <si>
    <t xml:space="preserve">60016889</t>
  </si>
  <si>
    <t xml:space="preserve">insta</t>
  </si>
  <si>
    <t xml:space="preserve">окна (квартира)</t>
  </si>
  <si>
    <t xml:space="preserve">1830€</t>
  </si>
  <si>
    <t xml:space="preserve">EUR</t>
  </si>
  <si>
    <t xml:space="preserve">думают</t>
  </si>
  <si>
    <t xml:space="preserve">евро: 1830€</t>
  </si>
  <si>
    <t xml:space="preserve">Ion, стр. 6</t>
  </si>
  <si>
    <t xml:space="preserve">Elena Lupu</t>
  </si>
  <si>
    <t xml:space="preserve">60064080</t>
  </si>
  <si>
    <t xml:space="preserve">Balti</t>
  </si>
  <si>
    <t xml:space="preserve">999</t>
  </si>
  <si>
    <t xml:space="preserve">ferestre apartament</t>
  </si>
  <si>
    <t xml:space="preserve">Андрей, стр. 8</t>
  </si>
  <si>
    <t xml:space="preserve">Оксана Белова</t>
  </si>
  <si>
    <t xml:space="preserve">60017179</t>
  </si>
  <si>
    <t xml:space="preserve">Ботаника</t>
  </si>
  <si>
    <t xml:space="preserve">с 999</t>
  </si>
  <si>
    <t xml:space="preserve">балкон</t>
  </si>
  <si>
    <t xml:space="preserve">Пропал</t>
  </si>
  <si>
    <t xml:space="preserve">пропал</t>
  </si>
  <si>
    <t xml:space="preserve">Наталья, стр. 5</t>
  </si>
  <si>
    <t xml:space="preserve">Опря Кристина</t>
  </si>
  <si>
    <t xml:space="preserve">60031982</t>
  </si>
  <si>
    <t xml:space="preserve">Бельцы</t>
  </si>
  <si>
    <t xml:space="preserve">Остекление балкона</t>
  </si>
  <si>
    <t xml:space="preserve">21200</t>
  </si>
  <si>
    <t xml:space="preserve">Наталья, стр. 6</t>
  </si>
  <si>
    <t xml:space="preserve">Постолаки Дойна</t>
  </si>
  <si>
    <t xml:space="preserve">60067775</t>
  </si>
  <si>
    <t xml:space="preserve">Кишинёв</t>
  </si>
  <si>
    <t xml:space="preserve">Окна, квартира (3 шт)</t>
  </si>
  <si>
    <t xml:space="preserve">Не дозвонилась</t>
  </si>
  <si>
    <t xml:space="preserve">Ion, стр. 7</t>
  </si>
  <si>
    <t xml:space="preserve">Лариса Петренко</t>
  </si>
  <si>
    <t xml:space="preserve">60083510</t>
  </si>
  <si>
    <t xml:space="preserve">Insta</t>
  </si>
  <si>
    <t xml:space="preserve">balcon</t>
  </si>
  <si>
    <t xml:space="preserve">17 500</t>
  </si>
  <si>
    <t xml:space="preserve">передумал, sună după ora 18</t>
  </si>
  <si>
    <t xml:space="preserve">Ion, стр. 8</t>
  </si>
  <si>
    <t xml:space="preserve">Alla Nichitina</t>
  </si>
  <si>
    <t xml:space="preserve">60003804</t>
  </si>
  <si>
    <t xml:space="preserve">FB</t>
  </si>
  <si>
    <t xml:space="preserve">fereastră</t>
  </si>
  <si>
    <t xml:space="preserve">Андрей, стр. 9</t>
  </si>
  <si>
    <t xml:space="preserve">Александру</t>
  </si>
  <si>
    <t xml:space="preserve">60017947</t>
  </si>
  <si>
    <t xml:space="preserve">частный дом</t>
  </si>
  <si>
    <t xml:space="preserve">просто узнать цену</t>
  </si>
  <si>
    <t xml:space="preserve">Андрей, стр. 10</t>
  </si>
  <si>
    <t xml:space="preserve">Виктор</t>
  </si>
  <si>
    <t xml:space="preserve">60074475</t>
  </si>
  <si>
    <t xml:space="preserve">Орхей</t>
  </si>
  <si>
    <t xml:space="preserve">звонила</t>
  </si>
  <si>
    <t xml:space="preserve">21500</t>
  </si>
  <si>
    <t xml:space="preserve">оплатили</t>
  </si>
  <si>
    <t xml:space="preserve">Наталья, стр. 7</t>
  </si>
  <si>
    <t xml:space="preserve">Сырбу Лилиана</t>
  </si>
  <si>
    <t xml:space="preserve">60051829</t>
  </si>
  <si>
    <t xml:space="preserve">Криково</t>
  </si>
  <si>
    <t xml:space="preserve">66900</t>
  </si>
  <si>
    <t xml:space="preserve">дорого, повторный клиент</t>
  </si>
  <si>
    <t xml:space="preserve">Наталья, стр. 8</t>
  </si>
  <si>
    <t xml:space="preserve">Савченко Юрий</t>
  </si>
  <si>
    <t xml:space="preserve">60030645</t>
  </si>
  <si>
    <t xml:space="preserve">Кишинев (Рышкановка)</t>
  </si>
  <si>
    <t xml:space="preserve">Лоджия под ключ</t>
  </si>
  <si>
    <t xml:space="preserve">Наталья, стр. 9</t>
  </si>
  <si>
    <t xml:space="preserve">Негру Ана</t>
  </si>
  <si>
    <t xml:space="preserve">60099600</t>
  </si>
  <si>
    <t xml:space="preserve">Окна в квартиру</t>
  </si>
  <si>
    <t xml:space="preserve">39300</t>
  </si>
  <si>
    <t xml:space="preserve">просил рассрочку</t>
  </si>
  <si>
    <t xml:space="preserve">Наталья, стр. 10</t>
  </si>
  <si>
    <t xml:space="preserve">Романов Дмитрий</t>
  </si>
  <si>
    <t xml:space="preserve">60039627</t>
  </si>
  <si>
    <t xml:space="preserve">Яловены</t>
  </si>
  <si>
    <t xml:space="preserve">не наш регион</t>
  </si>
  <si>
    <t xml:space="preserve">Андрей, стр. 11</t>
  </si>
  <si>
    <t xml:space="preserve">Лилиана Р.</t>
  </si>
  <si>
    <t xml:space="preserve">60018378</t>
  </si>
  <si>
    <t xml:space="preserve">Каушаны</t>
  </si>
  <si>
    <t xml:space="preserve">инстаграм</t>
  </si>
  <si>
    <t xml:space="preserve">балкон тёплый</t>
  </si>
  <si>
    <t xml:space="preserve">Андрей, стр. 12</t>
  </si>
  <si>
    <t xml:space="preserve">Серджиу Т.</t>
  </si>
  <si>
    <t xml:space="preserve">60033224</t>
  </si>
  <si>
    <t xml:space="preserve">Facebook реклама</t>
  </si>
  <si>
    <t xml:space="preserve">дом под ключ</t>
  </si>
  <si>
    <t xml:space="preserve">Андрей, стр. 14</t>
  </si>
  <si>
    <t xml:space="preserve">Ольга Ткаченко</t>
  </si>
  <si>
    <t xml:space="preserve">60096112</t>
  </si>
  <si>
    <t xml:space="preserve">окна кв</t>
  </si>
  <si>
    <t xml:space="preserve">нет</t>
  </si>
  <si>
    <t xml:space="preserve">белые</t>
  </si>
  <si>
    <t xml:space="preserve">Наталья, стр. 11</t>
  </si>
  <si>
    <t xml:space="preserve">Лысенко Павел</t>
  </si>
  <si>
    <t xml:space="preserve">60037529</t>
  </si>
  <si>
    <t xml:space="preserve">передумал, ламинация под дерево</t>
  </si>
  <si>
    <t xml:space="preserve">Наталья, стр. 12</t>
  </si>
  <si>
    <t xml:space="preserve">Ковальчук Геннадий</t>
  </si>
  <si>
    <t xml:space="preserve">60003170</t>
  </si>
  <si>
    <t xml:space="preserve">Москитные сетки</t>
  </si>
  <si>
    <t xml:space="preserve">передумал</t>
  </si>
  <si>
    <t xml:space="preserve">Ion, стр. 9</t>
  </si>
  <si>
    <t xml:space="preserve">Victor Postolachi</t>
  </si>
  <si>
    <t xml:space="preserve">60070361</t>
  </si>
  <si>
    <t xml:space="preserve">balcon + izolare</t>
  </si>
  <si>
    <t xml:space="preserve">Андрей, стр. 13</t>
  </si>
  <si>
    <t xml:space="preserve">Алла</t>
  </si>
  <si>
    <t xml:space="preserve">60093459</t>
  </si>
  <si>
    <t xml:space="preserve">Kишинёв</t>
  </si>
  <si>
    <t xml:space="preserve">фейсбук</t>
  </si>
  <si>
    <t xml:space="preserve">20700</t>
  </si>
  <si>
    <t xml:space="preserve">не берёт трубку, sună după ora 18</t>
  </si>
  <si>
    <t xml:space="preserve">Наталья, стр. 13</t>
  </si>
  <si>
    <t xml:space="preserve">Гончаренко Галина</t>
  </si>
  <si>
    <t xml:space="preserve">60095963</t>
  </si>
  <si>
    <t xml:space="preserve">Наталья, стр. 14</t>
  </si>
  <si>
    <t xml:space="preserve">Райлян Татьяна</t>
  </si>
  <si>
    <t xml:space="preserve">60057107</t>
  </si>
  <si>
    <t xml:space="preserve">По рекомендации</t>
  </si>
  <si>
    <t xml:space="preserve">дорого, жена решает</t>
  </si>
  <si>
    <t xml:space="preserve">Наталья, стр. 15</t>
  </si>
  <si>
    <t xml:space="preserve">Гросу Виктор</t>
  </si>
  <si>
    <t xml:space="preserve">60096490</t>
  </si>
  <si>
    <t xml:space="preserve">дорого</t>
  </si>
  <si>
    <t xml:space="preserve">Наталья, стр. 16</t>
  </si>
  <si>
    <t xml:space="preserve">Фёдорова Ольга</t>
  </si>
  <si>
    <t xml:space="preserve">60020673</t>
  </si>
  <si>
    <t xml:space="preserve">32 400 лей</t>
  </si>
  <si>
    <t xml:space="preserve">Ion, стр. 10</t>
  </si>
  <si>
    <t xml:space="preserve">Ирина Кравченко</t>
  </si>
  <si>
    <t xml:space="preserve">60084046</t>
  </si>
  <si>
    <t xml:space="preserve">Chișinău</t>
  </si>
  <si>
    <t xml:space="preserve">casă - toate geamurile</t>
  </si>
  <si>
    <t xml:space="preserve">4170 EUR</t>
  </si>
  <si>
    <t xml:space="preserve">евро: 4170 EUR</t>
  </si>
  <si>
    <t xml:space="preserve">Андрей, стр. 15</t>
  </si>
  <si>
    <t xml:space="preserve">Светлана</t>
  </si>
  <si>
    <t xml:space="preserve">60076702</t>
  </si>
  <si>
    <t xml:space="preserve">Instagram </t>
  </si>
  <si>
    <t xml:space="preserve">Андрей, стр. 16</t>
  </si>
  <si>
    <t xml:space="preserve">Ана (Чеканы)</t>
  </si>
  <si>
    <t xml:space="preserve">объявление 999</t>
  </si>
  <si>
    <t xml:space="preserve">окно 2ств</t>
  </si>
  <si>
    <t xml:space="preserve">Андрей, стр. 17</t>
  </si>
  <si>
    <t xml:space="preserve">Аурелия</t>
  </si>
  <si>
    <t xml:space="preserve">60004640</t>
  </si>
  <si>
    <t xml:space="preserve">1 окно кухня</t>
  </si>
  <si>
    <t xml:space="preserve">жена решает</t>
  </si>
  <si>
    <t xml:space="preserve">Наталья, стр. 17</t>
  </si>
  <si>
    <t xml:space="preserve">Попов Игорь</t>
  </si>
  <si>
    <t xml:space="preserve">60077793</t>
  </si>
  <si>
    <t xml:space="preserve">Дурлешты</t>
  </si>
  <si>
    <t xml:space="preserve">Входная дверь ПВХ</t>
  </si>
  <si>
    <t xml:space="preserve">Наталья, стр. 18</t>
  </si>
  <si>
    <t xml:space="preserve">Мельник Вероника</t>
  </si>
  <si>
    <t xml:space="preserve">60059840</t>
  </si>
  <si>
    <t xml:space="preserve">Ion, стр. 11</t>
  </si>
  <si>
    <t xml:space="preserve">Aurelia Cazacu</t>
  </si>
  <si>
    <t xml:space="preserve">60053269</t>
  </si>
  <si>
    <t xml:space="preserve">Stăuceni</t>
  </si>
  <si>
    <t xml:space="preserve">Ion, стр. 12</t>
  </si>
  <si>
    <t xml:space="preserve">Veronica Tabacaru</t>
  </si>
  <si>
    <t xml:space="preserve">60001468</t>
  </si>
  <si>
    <t xml:space="preserve">Căușeni</t>
  </si>
  <si>
    <t xml:space="preserve">sistem glisant</t>
  </si>
  <si>
    <t xml:space="preserve">60400 lei</t>
  </si>
  <si>
    <t xml:space="preserve">refuz</t>
  </si>
  <si>
    <t xml:space="preserve">Андрей, стр. 18</t>
  </si>
  <si>
    <t xml:space="preserve">Николае</t>
  </si>
  <si>
    <t xml:space="preserve">60069804</t>
  </si>
  <si>
    <t xml:space="preserve">15000</t>
  </si>
  <si>
    <t xml:space="preserve">Наталья, стр. 19</t>
  </si>
  <si>
    <t xml:space="preserve">Кравченко Виталий</t>
  </si>
  <si>
    <t xml:space="preserve">60040168</t>
  </si>
  <si>
    <t xml:space="preserve">Кэушень</t>
  </si>
  <si>
    <t xml:space="preserve">Наталья, стр. 20</t>
  </si>
  <si>
    <t xml:space="preserve">Гуцу Елена</t>
  </si>
  <si>
    <t xml:space="preserve">60099071</t>
  </si>
  <si>
    <t xml:space="preserve">Звонок</t>
  </si>
  <si>
    <t xml:space="preserve">Раздвижная система, терраса</t>
  </si>
  <si>
    <t xml:space="preserve">Ion, стр. 13</t>
  </si>
  <si>
    <t xml:space="preserve">Sergiu Botnari</t>
  </si>
  <si>
    <t xml:space="preserve">60009762</t>
  </si>
  <si>
    <t xml:space="preserve">glafuri</t>
  </si>
  <si>
    <t xml:space="preserve">Ion, стр. 14</t>
  </si>
  <si>
    <t xml:space="preserve">Игорь Фёдоров</t>
  </si>
  <si>
    <t xml:space="preserve">60067050</t>
  </si>
  <si>
    <t xml:space="preserve">Андрей, стр. 19</t>
  </si>
  <si>
    <t xml:space="preserve">60005004</t>
  </si>
  <si>
    <t xml:space="preserve">Страшены</t>
  </si>
  <si>
    <t xml:space="preserve">аванс 50%</t>
  </si>
  <si>
    <t xml:space="preserve">Андрей, стр. 20</t>
  </si>
  <si>
    <t xml:space="preserve">Людмила Н.</t>
  </si>
  <si>
    <t xml:space="preserve">60013264</t>
  </si>
  <si>
    <t xml:space="preserve">сетки</t>
  </si>
  <si>
    <t xml:space="preserve">Наталья, стр. 21</t>
  </si>
  <si>
    <t xml:space="preserve">Романова Ирина</t>
  </si>
  <si>
    <t xml:space="preserve">60030262</t>
  </si>
  <si>
    <t xml:space="preserve">Наталья, стр. 22</t>
  </si>
  <si>
    <t xml:space="preserve">Постолаки Кристина</t>
  </si>
  <si>
    <t xml:space="preserve">60041315</t>
  </si>
  <si>
    <t xml:space="preserve">дата записана числом Excel</t>
  </si>
  <si>
    <t xml:space="preserve">Наталья, стр. 23</t>
  </si>
  <si>
    <t xml:space="preserve">Савченко Светлана</t>
  </si>
  <si>
    <t xml:space="preserve">60016194</t>
  </si>
  <si>
    <t xml:space="preserve">Ion, стр. 15</t>
  </si>
  <si>
    <t xml:space="preserve">Valeriu Rotaru</t>
  </si>
  <si>
    <t xml:space="preserve">60065087</t>
  </si>
  <si>
    <t xml:space="preserve">Cricova</t>
  </si>
  <si>
    <t xml:space="preserve">ușă intrare</t>
  </si>
  <si>
    <t xml:space="preserve">Ion, стр. 16</t>
  </si>
  <si>
    <t xml:space="preserve">Doina Stratan</t>
  </si>
  <si>
    <t xml:space="preserve">60020595</t>
  </si>
  <si>
    <t xml:space="preserve">Ion, стр. 17</t>
  </si>
  <si>
    <t xml:space="preserve">Victor Railean</t>
  </si>
  <si>
    <t xml:space="preserve">60068088</t>
  </si>
  <si>
    <t xml:space="preserve">Ion, стр. 18</t>
  </si>
  <si>
    <t xml:space="preserve">Oxana Ivanova</t>
  </si>
  <si>
    <t xml:space="preserve">60033340</t>
  </si>
  <si>
    <t xml:space="preserve">recomandare</t>
  </si>
  <si>
    <t xml:space="preserve">29 700</t>
  </si>
  <si>
    <t xml:space="preserve">отложили до весны</t>
  </si>
  <si>
    <t xml:space="preserve">Ion, стр. 19</t>
  </si>
  <si>
    <t xml:space="preserve">Nicolae Postolachi</t>
  </si>
  <si>
    <t xml:space="preserve">60068586</t>
  </si>
  <si>
    <t xml:space="preserve">Андрей, стр. 21</t>
  </si>
  <si>
    <t xml:space="preserve">Игорь Бондаренко</t>
  </si>
  <si>
    <t xml:space="preserve">60076766</t>
  </si>
  <si>
    <t xml:space="preserve">Андрей, стр. 22</t>
  </si>
  <si>
    <t xml:space="preserve">Татьяна Чобану</t>
  </si>
  <si>
    <t xml:space="preserve">60069944</t>
  </si>
  <si>
    <t xml:space="preserve">дверь</t>
  </si>
  <si>
    <t xml:space="preserve">11000</t>
  </si>
  <si>
    <t xml:space="preserve">4-камерный профиль</t>
  </si>
  <si>
    <t xml:space="preserve">Андрей, стр. 23</t>
  </si>
  <si>
    <t xml:space="preserve">Думитру Т.</t>
  </si>
  <si>
    <t xml:space="preserve">60015714</t>
  </si>
  <si>
    <t xml:space="preserve">Наталья, стр. 24</t>
  </si>
  <si>
    <t xml:space="preserve">Гуцу Василе</t>
  </si>
  <si>
    <t xml:space="preserve">60026484</t>
  </si>
  <si>
    <t xml:space="preserve">140700</t>
  </si>
  <si>
    <t xml:space="preserve">Наталья, стр. 25</t>
  </si>
  <si>
    <t xml:space="preserve">Казаку Валериу</t>
  </si>
  <si>
    <t xml:space="preserve">60085893</t>
  </si>
  <si>
    <t xml:space="preserve">Окно ПВХ</t>
  </si>
  <si>
    <t xml:space="preserve">Ion, стр. 20</t>
  </si>
  <si>
    <t xml:space="preserve">Elena Melnic</t>
  </si>
  <si>
    <t xml:space="preserve">60022290</t>
  </si>
  <si>
    <t xml:space="preserve">IG</t>
  </si>
  <si>
    <t xml:space="preserve">Ion, стр. 21</t>
  </si>
  <si>
    <t xml:space="preserve">Aurelia Railean</t>
  </si>
  <si>
    <t xml:space="preserve">60082945</t>
  </si>
  <si>
    <t xml:space="preserve">Bălți</t>
  </si>
  <si>
    <t xml:space="preserve">Андрей, стр. 25</t>
  </si>
  <si>
    <t xml:space="preserve">Ирина Лысенко</t>
  </si>
  <si>
    <t xml:space="preserve">60078807</t>
  </si>
  <si>
    <t xml:space="preserve">Наталья, стр. 26</t>
  </si>
  <si>
    <t xml:space="preserve">Савченко Оксана</t>
  </si>
  <si>
    <t xml:space="preserve">60094086</t>
  </si>
  <si>
    <t xml:space="preserve">Наталья, стр. 27</t>
  </si>
  <si>
    <t xml:space="preserve">Мунтяну Кристина</t>
  </si>
  <si>
    <t xml:space="preserve">60056130</t>
  </si>
  <si>
    <t xml:space="preserve">5700</t>
  </si>
  <si>
    <t xml:space="preserve">Ion, стр. 22</t>
  </si>
  <si>
    <t xml:space="preserve">Valeriu Tabacaru</t>
  </si>
  <si>
    <t xml:space="preserve">60053353</t>
  </si>
  <si>
    <t xml:space="preserve">ușă PVC</t>
  </si>
  <si>
    <t xml:space="preserve">Ion, стр. 23</t>
  </si>
  <si>
    <t xml:space="preserve">Serghei Lîsenco</t>
  </si>
  <si>
    <t xml:space="preserve">60007876</t>
  </si>
  <si>
    <t xml:space="preserve">Ialoveni</t>
  </si>
  <si>
    <t xml:space="preserve">Ion, стр. 24</t>
  </si>
  <si>
    <t xml:space="preserve">Alexandru Botnari</t>
  </si>
  <si>
    <t xml:space="preserve">60089056</t>
  </si>
  <si>
    <t xml:space="preserve">рекомендация</t>
  </si>
  <si>
    <t xml:space="preserve">старые деревянные, демонтаж</t>
  </si>
  <si>
    <t xml:space="preserve">Наталья, стр. 28</t>
  </si>
  <si>
    <t xml:space="preserve">Бивол Виктор</t>
  </si>
  <si>
    <t xml:space="preserve">60020755</t>
  </si>
  <si>
    <t xml:space="preserve">выбрал конкурентов</t>
  </si>
  <si>
    <t xml:space="preserve">Наталья, стр. 29</t>
  </si>
  <si>
    <t xml:space="preserve">Стратан Серджиу</t>
  </si>
  <si>
    <t xml:space="preserve">60035505</t>
  </si>
  <si>
    <t xml:space="preserve">22900</t>
  </si>
  <si>
    <t xml:space="preserve">клиент также записан у Ион (стр. 34, статус «dublu?»)</t>
  </si>
  <si>
    <t xml:space="preserve">Наталья, стр. 30</t>
  </si>
  <si>
    <t xml:space="preserve">Лысенко Галина</t>
  </si>
  <si>
    <t xml:space="preserve">60051701</t>
  </si>
  <si>
    <t xml:space="preserve">Наталья, стр. 31</t>
  </si>
  <si>
    <t xml:space="preserve">SRL «Pomul Prim»</t>
  </si>
  <si>
    <t xml:space="preserve">22057441</t>
  </si>
  <si>
    <t xml:space="preserve">офис, 14 окон</t>
  </si>
  <si>
    <t xml:space="preserve">Передан</t>
  </si>
  <si>
    <t xml:space="preserve">Передала Андрею</t>
  </si>
  <si>
    <t xml:space="preserve">Тот же клиент (тел. 22057441), что у Андрей, стр. 27 — в воронке учтена та запись</t>
  </si>
  <si>
    <t xml:space="preserve">Ion, стр. 25</t>
  </si>
  <si>
    <t xml:space="preserve">Mihai Cojocaru</t>
  </si>
  <si>
    <t xml:space="preserve">60019617</t>
  </si>
  <si>
    <t xml:space="preserve">1.940 €</t>
  </si>
  <si>
    <t xml:space="preserve">думает</t>
  </si>
  <si>
    <t xml:space="preserve">евро: 1.940 €</t>
  </si>
  <si>
    <t xml:space="preserve">Ion, стр. 26</t>
  </si>
  <si>
    <t xml:space="preserve">Victor Rusu</t>
  </si>
  <si>
    <t xml:space="preserve">60012622</t>
  </si>
  <si>
    <t xml:space="preserve">Андрей, стр. 24</t>
  </si>
  <si>
    <t xml:space="preserve">Олег</t>
  </si>
  <si>
    <t xml:space="preserve">60071935</t>
  </si>
  <si>
    <t xml:space="preserve">Андрей, стр. 26</t>
  </si>
  <si>
    <t xml:space="preserve">Вероника Гуцу</t>
  </si>
  <si>
    <t xml:space="preserve">60087118</t>
  </si>
  <si>
    <t xml:space="preserve">24.600</t>
  </si>
  <si>
    <t xml:space="preserve">Андрей, стр. 27</t>
  </si>
  <si>
    <t xml:space="preserve">Помул Прим</t>
  </si>
  <si>
    <t xml:space="preserve">118000</t>
  </si>
  <si>
    <t xml:space="preserve">клиент также записан у Наталья (стр. 31, статус «Передала Андрею»)</t>
  </si>
  <si>
    <t xml:space="preserve">5 этаж без лифта</t>
  </si>
  <si>
    <t xml:space="preserve">Наталья, стр. 32</t>
  </si>
  <si>
    <t xml:space="preserve">Романова Ольга</t>
  </si>
  <si>
    <t xml:space="preserve">60012113</t>
  </si>
  <si>
    <t xml:space="preserve">не наш регион, аванс 50%</t>
  </si>
  <si>
    <t xml:space="preserve">Ion, стр. 28</t>
  </si>
  <si>
    <t xml:space="preserve">Mihai Munteanu</t>
  </si>
  <si>
    <t xml:space="preserve">60094773</t>
  </si>
  <si>
    <t xml:space="preserve">casă la cheie</t>
  </si>
  <si>
    <t xml:space="preserve">Наталья, стр. 33</t>
  </si>
  <si>
    <t xml:space="preserve">Русу Ана</t>
  </si>
  <si>
    <t xml:space="preserve">60069137</t>
  </si>
  <si>
    <t xml:space="preserve">Наталья, стр. 34</t>
  </si>
  <si>
    <t xml:space="preserve">Шевченко Игорь</t>
  </si>
  <si>
    <t xml:space="preserve">60070356</t>
  </si>
  <si>
    <t xml:space="preserve">34800 MDL</t>
  </si>
  <si>
    <t xml:space="preserve">Наталья, стр. 35</t>
  </si>
  <si>
    <t xml:space="preserve">Козлова Алла</t>
  </si>
  <si>
    <t xml:space="preserve">60025347</t>
  </si>
  <si>
    <t xml:space="preserve">25400</t>
  </si>
  <si>
    <t xml:space="preserve">Ion, стр. 27</t>
  </si>
  <si>
    <t xml:space="preserve">Ana Lungu</t>
  </si>
  <si>
    <t xml:space="preserve">60039195</t>
  </si>
  <si>
    <t xml:space="preserve">Ion, стр. 29</t>
  </si>
  <si>
    <t xml:space="preserve">Sergiu Ursu</t>
  </si>
  <si>
    <t xml:space="preserve">60083018</t>
  </si>
  <si>
    <t xml:space="preserve">7040 eur</t>
  </si>
  <si>
    <t xml:space="preserve">евро: 7040 eur</t>
  </si>
  <si>
    <t xml:space="preserve">Ion, стр. 30</t>
  </si>
  <si>
    <t xml:space="preserve">Valeriu Grosu</t>
  </si>
  <si>
    <t xml:space="preserve">60035793</t>
  </si>
  <si>
    <t xml:space="preserve">Ungheni</t>
  </si>
  <si>
    <t xml:space="preserve">28400</t>
  </si>
  <si>
    <t xml:space="preserve">Ion, стр. 31</t>
  </si>
  <si>
    <t xml:space="preserve">Dumitru Postolachi</t>
  </si>
  <si>
    <t xml:space="preserve">60069347</t>
  </si>
  <si>
    <t xml:space="preserve">Ion, стр. 32</t>
  </si>
  <si>
    <t xml:space="preserve">Valeriu Munteanu</t>
  </si>
  <si>
    <t xml:space="preserve">60088745</t>
  </si>
  <si>
    <t xml:space="preserve">10400</t>
  </si>
  <si>
    <t xml:space="preserve">achitat</t>
  </si>
  <si>
    <t xml:space="preserve">Ion, стр. 33</t>
  </si>
  <si>
    <t xml:space="preserve">Alexandru Bejan</t>
  </si>
  <si>
    <t xml:space="preserve">60045279</t>
  </si>
  <si>
    <t xml:space="preserve">просто узнать цену, просил рассрочку</t>
  </si>
  <si>
    <t xml:space="preserve">Ion, стр. 34</t>
  </si>
  <si>
    <t xml:space="preserve">Sergiu Stratan</t>
  </si>
  <si>
    <t xml:space="preserve">Дубль?</t>
  </si>
  <si>
    <t xml:space="preserve">dublu?</t>
  </si>
  <si>
    <t xml:space="preserve">Тот же клиент (тел. 60035505), что у Наталья, стр. 29 — в воронке учтена та запись</t>
  </si>
  <si>
    <t xml:space="preserve">Андрей, стр. 28</t>
  </si>
  <si>
    <t xml:space="preserve">Татьяна Мунтяну</t>
  </si>
  <si>
    <t xml:space="preserve">60047318</t>
  </si>
  <si>
    <t xml:space="preserve">выбрал конкурентов, 5 этаж без лифта</t>
  </si>
  <si>
    <t xml:space="preserve">Ion, стр. 35</t>
  </si>
  <si>
    <t xml:space="preserve">Сергей Никитин</t>
  </si>
  <si>
    <t xml:space="preserve">60061042</t>
  </si>
  <si>
    <t xml:space="preserve">Андрей, стр. 29</t>
  </si>
  <si>
    <t xml:space="preserve">Павел Иванов (Буюканы)</t>
  </si>
  <si>
    <t xml:space="preserve">~19к</t>
  </si>
  <si>
    <t xml:space="preserve">приблизительно (~19к)</t>
  </si>
  <si>
    <t xml:space="preserve">Наталья, стр. 36</t>
  </si>
  <si>
    <t xml:space="preserve">Козлов Сергей</t>
  </si>
  <si>
    <t xml:space="preserve">60008336</t>
  </si>
  <si>
    <t xml:space="preserve">17500</t>
  </si>
  <si>
    <t xml:space="preserve">не берёт трубку</t>
  </si>
  <si>
    <t xml:space="preserve">Наталья, стр. 37</t>
  </si>
  <si>
    <t xml:space="preserve">Цуркану Дойна</t>
  </si>
  <si>
    <t xml:space="preserve">60002659</t>
  </si>
  <si>
    <t xml:space="preserve">звонить после 18</t>
  </si>
  <si>
    <t xml:space="preserve">Наталья, стр. 38</t>
  </si>
  <si>
    <t xml:space="preserve">Романов Сергей</t>
  </si>
  <si>
    <t xml:space="preserve">60042717</t>
  </si>
  <si>
    <t xml:space="preserve">Наталья, стр. 40</t>
  </si>
  <si>
    <t xml:space="preserve">Белов Дмитрий</t>
  </si>
  <si>
    <t xml:space="preserve">60065003</t>
  </si>
  <si>
    <t xml:space="preserve">33600 MDL</t>
  </si>
  <si>
    <t xml:space="preserve">Ion, стр. 36</t>
  </si>
  <si>
    <t xml:space="preserve">Sergiu Sârbu</t>
  </si>
  <si>
    <t xml:space="preserve">60048352</t>
  </si>
  <si>
    <t xml:space="preserve">Ion, стр. 37</t>
  </si>
  <si>
    <t xml:space="preserve">Vasile Lungu</t>
  </si>
  <si>
    <t xml:space="preserve">60016900</t>
  </si>
  <si>
    <t xml:space="preserve">Андрей, стр. 30</t>
  </si>
  <si>
    <t xml:space="preserve">Алла Иванова</t>
  </si>
  <si>
    <t xml:space="preserve">60096246</t>
  </si>
  <si>
    <t xml:space="preserve">окно</t>
  </si>
  <si>
    <t xml:space="preserve">Андрей, стр. 31</t>
  </si>
  <si>
    <t xml:space="preserve">Лилиана (Буюканы)</t>
  </si>
  <si>
    <t xml:space="preserve">8700</t>
  </si>
  <si>
    <t xml:space="preserve">Андрей, стр. 32</t>
  </si>
  <si>
    <t xml:space="preserve">Дмитрий Кравченко</t>
  </si>
  <si>
    <t xml:space="preserve">60030110</t>
  </si>
  <si>
    <t xml:space="preserve">рек.</t>
  </si>
  <si>
    <t xml:space="preserve">ремонт перенесли</t>
  </si>
  <si>
    <t xml:space="preserve">Наталья, стр. 39</t>
  </si>
  <si>
    <t xml:space="preserve">Негру Михай</t>
  </si>
  <si>
    <t xml:space="preserve">60043535</t>
  </si>
  <si>
    <t xml:space="preserve">Наталья, стр. 41</t>
  </si>
  <si>
    <t xml:space="preserve">Петренко Алла</t>
  </si>
  <si>
    <t xml:space="preserve">60017914</t>
  </si>
  <si>
    <t xml:space="preserve">Наталья, стр. 42</t>
  </si>
  <si>
    <t xml:space="preserve">Кожокару Александру</t>
  </si>
  <si>
    <t xml:space="preserve">60059180</t>
  </si>
  <si>
    <t xml:space="preserve">36900</t>
  </si>
  <si>
    <t xml:space="preserve">Андрей, стр. 33</t>
  </si>
  <si>
    <t xml:space="preserve">Людмила С. (Ботаника)</t>
  </si>
  <si>
    <t xml:space="preserve">яловены</t>
  </si>
  <si>
    <t xml:space="preserve">20.300</t>
  </si>
  <si>
    <t xml:space="preserve">Андрей, стр. 34</t>
  </si>
  <si>
    <t xml:space="preserve">Раду Лунгу (центр)</t>
  </si>
  <si>
    <t xml:space="preserve">29600</t>
  </si>
  <si>
    <t xml:space="preserve">Наталья, стр. 43</t>
  </si>
  <si>
    <t xml:space="preserve">Райлян Ана</t>
  </si>
  <si>
    <t xml:space="preserve">60034916</t>
  </si>
  <si>
    <t xml:space="preserve">Наталья, стр. 44</t>
  </si>
  <si>
    <t xml:space="preserve">Гончаренко Ольга</t>
  </si>
  <si>
    <t xml:space="preserve">60055788</t>
  </si>
  <si>
    <t xml:space="preserve">просто узнать цену, повторный клиент</t>
  </si>
  <si>
    <t xml:space="preserve">Наталья, стр. 45</t>
  </si>
  <si>
    <t xml:space="preserve">Соколов Геннадий</t>
  </si>
  <si>
    <t xml:space="preserve">60032481</t>
  </si>
  <si>
    <t xml:space="preserve">Наталья, стр. 46</t>
  </si>
  <si>
    <t xml:space="preserve">Козлов Дмитрий</t>
  </si>
  <si>
    <t xml:space="preserve">60019140</t>
  </si>
  <si>
    <t xml:space="preserve">Наталья, стр. 47</t>
  </si>
  <si>
    <t xml:space="preserve">Кожокару Кристина</t>
  </si>
  <si>
    <t xml:space="preserve">60091482</t>
  </si>
  <si>
    <t xml:space="preserve">111300</t>
  </si>
  <si>
    <t xml:space="preserve">Наталья, стр. 49</t>
  </si>
  <si>
    <t xml:space="preserve">Мокану Валериу</t>
  </si>
  <si>
    <t xml:space="preserve">60096522</t>
  </si>
  <si>
    <t xml:space="preserve">Ion, стр. 38</t>
  </si>
  <si>
    <t xml:space="preserve">Mihai Guțu</t>
  </si>
  <si>
    <t xml:space="preserve">60017605</t>
  </si>
  <si>
    <t xml:space="preserve">35700</t>
  </si>
  <si>
    <t xml:space="preserve">Ion, стр. 39</t>
  </si>
  <si>
    <t xml:space="preserve">Radu Railean</t>
  </si>
  <si>
    <t xml:space="preserve">60042870</t>
  </si>
  <si>
    <t xml:space="preserve">Ion, стр. 40</t>
  </si>
  <si>
    <t xml:space="preserve">Лариса Ковальчук</t>
  </si>
  <si>
    <t xml:space="preserve">60000881</t>
  </si>
  <si>
    <t xml:space="preserve">Андрей, стр. 35</t>
  </si>
  <si>
    <t xml:space="preserve">Ирина</t>
  </si>
  <si>
    <t xml:space="preserve">60061269</t>
  </si>
  <si>
    <t xml:space="preserve">Андрей, стр. 36</t>
  </si>
  <si>
    <t xml:space="preserve">Сергей</t>
  </si>
  <si>
    <t xml:space="preserve">60016176</t>
  </si>
  <si>
    <t xml:space="preserve">позвонил</t>
  </si>
  <si>
    <t xml:space="preserve">7600</t>
  </si>
  <si>
    <t xml:space="preserve">Андрей, стр. 37</t>
  </si>
  <si>
    <t xml:space="preserve">Оксана Г.</t>
  </si>
  <si>
    <t xml:space="preserve">60035921</t>
  </si>
  <si>
    <t xml:space="preserve">Оргеев</t>
  </si>
  <si>
    <t xml:space="preserve">~23к</t>
  </si>
  <si>
    <t xml:space="preserve">приблизительно (~23к)</t>
  </si>
  <si>
    <t xml:space="preserve">Наталья, стр. 48</t>
  </si>
  <si>
    <t xml:space="preserve">Русу Думитру</t>
  </si>
  <si>
    <t xml:space="preserve">60027032</t>
  </si>
  <si>
    <t xml:space="preserve">Ion, стр. 41</t>
  </si>
  <si>
    <t xml:space="preserve">Liliana Cebotari</t>
  </si>
  <si>
    <t xml:space="preserve">60007886</t>
  </si>
  <si>
    <t xml:space="preserve">Ion, стр. 42</t>
  </si>
  <si>
    <t xml:space="preserve">Doina Sârbu</t>
  </si>
  <si>
    <t xml:space="preserve">60040651</t>
  </si>
  <si>
    <t xml:space="preserve">26 900</t>
  </si>
  <si>
    <t xml:space="preserve">оплачено</t>
  </si>
  <si>
    <t xml:space="preserve">Ion, стр. 43</t>
  </si>
  <si>
    <t xml:space="preserve">Vasile Țurcanu</t>
  </si>
  <si>
    <t xml:space="preserve">60054431</t>
  </si>
  <si>
    <t xml:space="preserve">39.400 lei</t>
  </si>
  <si>
    <t xml:space="preserve">achitat ✓</t>
  </si>
  <si>
    <t xml:space="preserve">Андрей, стр. 38</t>
  </si>
  <si>
    <t xml:space="preserve">Дойна</t>
  </si>
  <si>
    <t xml:space="preserve">60084964</t>
  </si>
  <si>
    <t xml:space="preserve">раздвижка</t>
  </si>
  <si>
    <t xml:space="preserve">77200</t>
  </si>
  <si>
    <t xml:space="preserve">передумал, аванс 50%</t>
  </si>
  <si>
    <t xml:space="preserve">Андрей, стр. 39</t>
  </si>
  <si>
    <t xml:space="preserve">Вероника</t>
  </si>
  <si>
    <t xml:space="preserve">60093619</t>
  </si>
  <si>
    <t xml:space="preserve">Андрей, стр. 40</t>
  </si>
  <si>
    <t xml:space="preserve">Раду Негру</t>
  </si>
  <si>
    <t xml:space="preserve">60038399</t>
  </si>
  <si>
    <t xml:space="preserve">Наталья, стр. 50</t>
  </si>
  <si>
    <t xml:space="preserve">Чебан Мария</t>
  </si>
  <si>
    <t xml:space="preserve">60016630</t>
  </si>
  <si>
    <t xml:space="preserve">31200</t>
  </si>
  <si>
    <t xml:space="preserve">Ion, стр. 44</t>
  </si>
  <si>
    <t xml:space="preserve">Павел Попов</t>
  </si>
  <si>
    <t xml:space="preserve">60031233</t>
  </si>
  <si>
    <t xml:space="preserve">14200</t>
  </si>
  <si>
    <t xml:space="preserve">Ion, стр. 45</t>
  </si>
  <si>
    <t xml:space="preserve">Olga Bondarenco</t>
  </si>
  <si>
    <t xml:space="preserve">60051044</t>
  </si>
  <si>
    <t xml:space="preserve">30600 lei</t>
  </si>
  <si>
    <t xml:space="preserve">Андрей, стр. 41</t>
  </si>
  <si>
    <t xml:space="preserve">Лариса</t>
  </si>
  <si>
    <t xml:space="preserve">60066608</t>
  </si>
  <si>
    <t xml:space="preserve">32800 + монтаж 2500</t>
  </si>
  <si>
    <t xml:space="preserve">включён монтаж (32800 + монтаж 2500)</t>
  </si>
  <si>
    <t xml:space="preserve">Наталья, стр. 51</t>
  </si>
  <si>
    <t xml:space="preserve">Ротару Думитру</t>
  </si>
  <si>
    <t xml:space="preserve">60054648</t>
  </si>
  <si>
    <t xml:space="preserve">14300</t>
  </si>
  <si>
    <t xml:space="preserve">Наталья, стр. 52</t>
  </si>
  <si>
    <t xml:space="preserve">Соколов Олег</t>
  </si>
  <si>
    <t xml:space="preserve">60019709</t>
  </si>
  <si>
    <t xml:space="preserve">41100</t>
  </si>
  <si>
    <t xml:space="preserve">Ion, стр. 46</t>
  </si>
  <si>
    <t xml:space="preserve">Irina Kuznețova</t>
  </si>
  <si>
    <t xml:space="preserve">60083266</t>
  </si>
  <si>
    <t xml:space="preserve">27100,00</t>
  </si>
  <si>
    <t xml:space="preserve">Андрей, стр. 42</t>
  </si>
  <si>
    <t xml:space="preserve">Татьяна Ротару (Чеканы)</t>
  </si>
  <si>
    <t xml:space="preserve">Бэлць</t>
  </si>
  <si>
    <t xml:space="preserve">дверь вход.</t>
  </si>
  <si>
    <t xml:space="preserve">~15к</t>
  </si>
  <si>
    <t xml:space="preserve">приблизительно (~15к)</t>
  </si>
  <si>
    <t xml:space="preserve">Андрей, стр. 43</t>
  </si>
  <si>
    <t xml:space="preserve">Оксана Лысенко</t>
  </si>
  <si>
    <t xml:space="preserve">60077321</t>
  </si>
  <si>
    <t xml:space="preserve">Ставчены</t>
  </si>
  <si>
    <t xml:space="preserve">30800</t>
  </si>
  <si>
    <t xml:space="preserve">да</t>
  </si>
  <si>
    <t xml:space="preserve">статус «да» трактован как оплата (зелёная строка, есть дата/отметка оплаты)</t>
  </si>
  <si>
    <t xml:space="preserve">Андрей, стр. 44</t>
  </si>
  <si>
    <t xml:space="preserve">Галина Фёдорова</t>
  </si>
  <si>
    <t xml:space="preserve">60092898</t>
  </si>
  <si>
    <t xml:space="preserve">клиент также записан у Ион (стр. 51, статус «nu răspunde»)</t>
  </si>
  <si>
    <t xml:space="preserve">Наталья, стр. 53</t>
  </si>
  <si>
    <t xml:space="preserve">Негру Дойна</t>
  </si>
  <si>
    <t xml:space="preserve">60048957</t>
  </si>
  <si>
    <t xml:space="preserve">2500</t>
  </si>
  <si>
    <t xml:space="preserve">Наталья, стр. 54</t>
  </si>
  <si>
    <t xml:space="preserve">Фёдорова Лариса</t>
  </si>
  <si>
    <t xml:space="preserve">60048052</t>
  </si>
  <si>
    <t xml:space="preserve">Тот же клиент (тел. 60048052), что у Андрей, стр. 52 — в воронке учтена та запись</t>
  </si>
  <si>
    <t xml:space="preserve">Ion, стр. 47</t>
  </si>
  <si>
    <t xml:space="preserve">Оксана Волкова</t>
  </si>
  <si>
    <t xml:space="preserve">60037366</t>
  </si>
  <si>
    <t xml:space="preserve">22.000 lei</t>
  </si>
  <si>
    <t xml:space="preserve">клиент также записан у Ион (стр. 49, статус «отказ»)</t>
  </si>
  <si>
    <t xml:space="preserve">Ion, стр. 48</t>
  </si>
  <si>
    <t xml:space="preserve">Oxana Tcacenco</t>
  </si>
  <si>
    <t xml:space="preserve">60097556</t>
  </si>
  <si>
    <t xml:space="preserve">Durlești</t>
  </si>
  <si>
    <t xml:space="preserve">21600,00</t>
  </si>
  <si>
    <t xml:space="preserve">Ion, стр. 49</t>
  </si>
  <si>
    <t xml:space="preserve">Точная копия строки 47 на листе Ион</t>
  </si>
  <si>
    <t xml:space="preserve">Андрей, стр. 45</t>
  </si>
  <si>
    <t xml:space="preserve">Лилиана Ротару</t>
  </si>
  <si>
    <t xml:space="preserve">60018463</t>
  </si>
  <si>
    <t xml:space="preserve">Наталья, стр. 55</t>
  </si>
  <si>
    <t xml:space="preserve">Казаку Татьяна</t>
  </si>
  <si>
    <t xml:space="preserve">60015838</t>
  </si>
  <si>
    <t xml:space="preserve">Наталья, стр. 56</t>
  </si>
  <si>
    <t xml:space="preserve">Морозова Алла</t>
  </si>
  <si>
    <t xml:space="preserve">60000767</t>
  </si>
  <si>
    <t xml:space="preserve">просто узнать цену, 5 этаж без лифта</t>
  </si>
  <si>
    <t xml:space="preserve">Андрей, стр. 46</t>
  </si>
  <si>
    <t xml:space="preserve">Виктор (Буюканы)</t>
  </si>
  <si>
    <t xml:space="preserve">15300</t>
  </si>
  <si>
    <t xml:space="preserve">Андрей, стр. 47</t>
  </si>
  <si>
    <t xml:space="preserve">Олег Ш.</t>
  </si>
  <si>
    <t xml:space="preserve">60075555</t>
  </si>
  <si>
    <t xml:space="preserve">клиент также записан у Андрей (стр. 48, статус «пропал»)</t>
  </si>
  <si>
    <t xml:space="preserve">Андрей, стр. 48</t>
  </si>
  <si>
    <t xml:space="preserve">Точная копия строки 47 на листе Андрей</t>
  </si>
  <si>
    <t xml:space="preserve">Андрей, стр. 49</t>
  </si>
  <si>
    <t xml:space="preserve">Ана (Буюканы)</t>
  </si>
  <si>
    <t xml:space="preserve">Андрей, стр. 50</t>
  </si>
  <si>
    <t xml:space="preserve">60005982</t>
  </si>
  <si>
    <t xml:space="preserve">8400</t>
  </si>
  <si>
    <t xml:space="preserve">Андрей, стр. 51</t>
  </si>
  <si>
    <t xml:space="preserve">Раду Р.</t>
  </si>
  <si>
    <t xml:space="preserve">60011237</t>
  </si>
  <si>
    <t xml:space="preserve">знакомый</t>
  </si>
  <si>
    <t xml:space="preserve">Ion, стр. 50</t>
  </si>
  <si>
    <t xml:space="preserve">Pavel Kuznețov</t>
  </si>
  <si>
    <t xml:space="preserve">60074370</t>
  </si>
  <si>
    <t xml:space="preserve">5 400</t>
  </si>
  <si>
    <t xml:space="preserve">Ion, стр. 51</t>
  </si>
  <si>
    <t xml:space="preserve">Тот же клиент (тел. 60092898), что у Андрей, стр. 44 — в воронке учтена та запись</t>
  </si>
  <si>
    <t xml:space="preserve">Андрей, стр. 52</t>
  </si>
  <si>
    <t xml:space="preserve">Лариса Фёдорова</t>
  </si>
  <si>
    <t xml:space="preserve">клиент также записан у Наталья (стр. 54, статус «Не дозвонилась»)</t>
  </si>
  <si>
    <t xml:space="preserve">звонил повторно</t>
  </si>
  <si>
    <t xml:space="preserve">Наталья, стр. 57</t>
  </si>
  <si>
    <t xml:space="preserve">Ботнарь Михай</t>
  </si>
  <si>
    <t xml:space="preserve">60042682</t>
  </si>
  <si>
    <t xml:space="preserve">72 100 лей</t>
  </si>
  <si>
    <t xml:space="preserve">Наталья, стр. 58</t>
  </si>
  <si>
    <t xml:space="preserve">Лысенко Алла</t>
  </si>
  <si>
    <t xml:space="preserve">60052112</t>
  </si>
  <si>
    <t xml:space="preserve">10 600 лей</t>
  </si>
  <si>
    <t xml:space="preserve">Наталья, стр. 59</t>
  </si>
  <si>
    <t xml:space="preserve">Русу Николае</t>
  </si>
  <si>
    <t xml:space="preserve">60042259</t>
  </si>
  <si>
    <t xml:space="preserve">6200</t>
  </si>
  <si>
    <t xml:space="preserve">ламинация под дерево</t>
  </si>
  <si>
    <t xml:space="preserve">Наталья, стр. 60</t>
  </si>
  <si>
    <t xml:space="preserve">Фёдоров Павел</t>
  </si>
  <si>
    <t xml:space="preserve">60032907</t>
  </si>
  <si>
    <t xml:space="preserve">Андрей, стр. 53</t>
  </si>
  <si>
    <t xml:space="preserve">Серджиу Мокану</t>
  </si>
  <si>
    <t xml:space="preserve">60069581</t>
  </si>
  <si>
    <t xml:space="preserve">41400</t>
  </si>
  <si>
    <t xml:space="preserve">статус «да» трактован как оплата (зелёная строка, есть дата/отметка оплаты); дата оплаты не указана («+»)</t>
  </si>
  <si>
    <t xml:space="preserve">Наталья, стр. 61</t>
  </si>
  <si>
    <t xml:space="preserve">Лунгу Думитру</t>
  </si>
  <si>
    <t xml:space="preserve">60068110</t>
  </si>
  <si>
    <t xml:space="preserve">Наталья, стр. 62</t>
  </si>
  <si>
    <t xml:space="preserve">Соколова Ольга</t>
  </si>
  <si>
    <t xml:space="preserve">60097313</t>
  </si>
  <si>
    <t xml:space="preserve">Наталья, стр. 63</t>
  </si>
  <si>
    <t xml:space="preserve">Кожокару Татьяна</t>
  </si>
  <si>
    <t xml:space="preserve">60097238</t>
  </si>
  <si>
    <t xml:space="preserve">Ion, стр. 52</t>
  </si>
  <si>
    <t xml:space="preserve">Elena Lungu</t>
  </si>
  <si>
    <t xml:space="preserve">60042756</t>
  </si>
  <si>
    <t xml:space="preserve">Андрей, стр. 54</t>
  </si>
  <si>
    <t xml:space="preserve">Татьяна</t>
  </si>
  <si>
    <t xml:space="preserve">60005483</t>
  </si>
  <si>
    <t xml:space="preserve">17400 + монтаж 3000</t>
  </si>
  <si>
    <t xml:space="preserve">включён монтаж (17400 + монтаж 3000)</t>
  </si>
  <si>
    <t xml:space="preserve">Андрей, стр. 55</t>
  </si>
  <si>
    <t xml:space="preserve">Михай М.</t>
  </si>
  <si>
    <t xml:space="preserve">60000053</t>
  </si>
  <si>
    <t xml:space="preserve">31400</t>
  </si>
  <si>
    <t xml:space="preserve">sună după ora 18</t>
  </si>
  <si>
    <t xml:space="preserve">Наталья, стр. 64</t>
  </si>
  <si>
    <t xml:space="preserve">Шевченко Геннадий</t>
  </si>
  <si>
    <t xml:space="preserve">60077915</t>
  </si>
  <si>
    <t xml:space="preserve">Наталья, стр. 65</t>
  </si>
  <si>
    <t xml:space="preserve">Савченко Ольга</t>
  </si>
  <si>
    <t xml:space="preserve">60091906</t>
  </si>
  <si>
    <t xml:space="preserve">Ion, стр. 53</t>
  </si>
  <si>
    <t xml:space="preserve">Дмитрий Попов</t>
  </si>
  <si>
    <t xml:space="preserve">60081805</t>
  </si>
  <si>
    <t xml:space="preserve">18 400</t>
  </si>
  <si>
    <t xml:space="preserve">Ion, стр. 54</t>
  </si>
  <si>
    <t xml:space="preserve">Maria Sârbu</t>
  </si>
  <si>
    <t xml:space="preserve">60026472</t>
  </si>
  <si>
    <t xml:space="preserve">18.600 lei</t>
  </si>
  <si>
    <t xml:space="preserve">Ion, стр. 55</t>
  </si>
  <si>
    <t xml:space="preserve">Elena Ursu</t>
  </si>
  <si>
    <t xml:space="preserve">60082912</t>
  </si>
  <si>
    <t xml:space="preserve">79400,00</t>
  </si>
  <si>
    <t xml:space="preserve">Андрей, стр. 59</t>
  </si>
  <si>
    <t xml:space="preserve">Юрий Белов</t>
  </si>
  <si>
    <t xml:space="preserve">60082283</t>
  </si>
  <si>
    <t xml:space="preserve">Андрей, стр. 60</t>
  </si>
  <si>
    <t xml:space="preserve">Раду М.</t>
  </si>
  <si>
    <t xml:space="preserve">60055194</t>
  </si>
  <si>
    <t xml:space="preserve">Наталья, стр. 66</t>
  </si>
  <si>
    <t xml:space="preserve">SRL «Cireșar Invest»</t>
  </si>
  <si>
    <t xml:space="preserve">22013364</t>
  </si>
  <si>
    <t xml:space="preserve">Офис</t>
  </si>
  <si>
    <t xml:space="preserve">105000</t>
  </si>
  <si>
    <t xml:space="preserve">Наталья, стр. 67</t>
  </si>
  <si>
    <t xml:space="preserve">Негру Лилиана</t>
  </si>
  <si>
    <t xml:space="preserve">60007376</t>
  </si>
  <si>
    <t xml:space="preserve">Ion, стр. 56</t>
  </si>
  <si>
    <t xml:space="preserve">Larisa Belova</t>
  </si>
  <si>
    <t xml:space="preserve">60022564</t>
  </si>
  <si>
    <t xml:space="preserve">22600 lei</t>
  </si>
  <si>
    <t xml:space="preserve">Ion, стр. 57</t>
  </si>
  <si>
    <t xml:space="preserve">Сергей Петренко</t>
  </si>
  <si>
    <t xml:space="preserve">60011571</t>
  </si>
  <si>
    <t xml:space="preserve">32.700 lei</t>
  </si>
  <si>
    <t xml:space="preserve">Андрей, стр. 61</t>
  </si>
  <si>
    <t xml:space="preserve">Лилиана Б.</t>
  </si>
  <si>
    <t xml:space="preserve">60042238</t>
  </si>
  <si>
    <t xml:space="preserve">просто узнать цену, sună după ora 18</t>
  </si>
  <si>
    <t xml:space="preserve">Андрей, стр. 63</t>
  </si>
  <si>
    <t xml:space="preserve">Ирина Савченко</t>
  </si>
  <si>
    <t xml:space="preserve">60050960</t>
  </si>
  <si>
    <t xml:space="preserve">Наталья, стр. 69</t>
  </si>
  <si>
    <t xml:space="preserve">Ковальчук Алла</t>
  </si>
  <si>
    <t xml:space="preserve">60094982</t>
  </si>
  <si>
    <t xml:space="preserve">Ion, стр. 58</t>
  </si>
  <si>
    <t xml:space="preserve">Oxana Covalciuc</t>
  </si>
  <si>
    <t xml:space="preserve">60097331</t>
  </si>
  <si>
    <t xml:space="preserve">24 100</t>
  </si>
  <si>
    <t xml:space="preserve">Ion, стр. 59</t>
  </si>
  <si>
    <t xml:space="preserve">Victor Ciobanu</t>
  </si>
  <si>
    <t xml:space="preserve">60053431</t>
  </si>
  <si>
    <t xml:space="preserve">4600 lei</t>
  </si>
  <si>
    <t xml:space="preserve">Андрей, стр. 62</t>
  </si>
  <si>
    <t xml:space="preserve">Елена</t>
  </si>
  <si>
    <t xml:space="preserve">60049648</t>
  </si>
  <si>
    <t xml:space="preserve">Андрей, стр. 64</t>
  </si>
  <si>
    <t xml:space="preserve">60059952</t>
  </si>
  <si>
    <t xml:space="preserve">Андрей, стр. 65</t>
  </si>
  <si>
    <t xml:space="preserve">Серджиу Ц.</t>
  </si>
  <si>
    <t xml:space="preserve">60095069</t>
  </si>
  <si>
    <t xml:space="preserve">30.800</t>
  </si>
  <si>
    <t xml:space="preserve">Андрей, стр. 66</t>
  </si>
  <si>
    <t xml:space="preserve">Ирина Ш. (Ботаника)</t>
  </si>
  <si>
    <t xml:space="preserve">Унгены</t>
  </si>
  <si>
    <t xml:space="preserve">Андрей, стр. 67</t>
  </si>
  <si>
    <t xml:space="preserve">Кристина</t>
  </si>
  <si>
    <t xml:space="preserve">60083847</t>
  </si>
  <si>
    <t xml:space="preserve">32200</t>
  </si>
  <si>
    <t xml:space="preserve">Наталья, стр. 68</t>
  </si>
  <si>
    <t xml:space="preserve">SRL «Brumăriu Service»</t>
  </si>
  <si>
    <t xml:space="preserve">22034467</t>
  </si>
  <si>
    <t xml:space="preserve">Магазин, витрина</t>
  </si>
  <si>
    <t xml:space="preserve">68100</t>
  </si>
  <si>
    <t xml:space="preserve">Наталья, стр. 70</t>
  </si>
  <si>
    <t xml:space="preserve">Соколова Ирина</t>
  </si>
  <si>
    <t xml:space="preserve">60027724</t>
  </si>
  <si>
    <t xml:space="preserve">32900</t>
  </si>
  <si>
    <t xml:space="preserve">Наталья, стр. 71</t>
  </si>
  <si>
    <t xml:space="preserve">Гросу Татьяна</t>
  </si>
  <si>
    <t xml:space="preserve">60026943</t>
  </si>
  <si>
    <t xml:space="preserve">2400</t>
  </si>
  <si>
    <t xml:space="preserve">Ion, стр. 60</t>
  </si>
  <si>
    <t xml:space="preserve">Mihai Lungu</t>
  </si>
  <si>
    <t xml:space="preserve">60053903</t>
  </si>
  <si>
    <t xml:space="preserve">Ion, стр. 61</t>
  </si>
  <si>
    <t xml:space="preserve">Doina Grosu</t>
  </si>
  <si>
    <t xml:space="preserve">60032720</t>
  </si>
  <si>
    <t xml:space="preserve">Андрей, стр. 68</t>
  </si>
  <si>
    <t xml:space="preserve">Татьяна Г.</t>
  </si>
  <si>
    <t xml:space="preserve">60040809</t>
  </si>
  <si>
    <t xml:space="preserve">32500</t>
  </si>
  <si>
    <t xml:space="preserve">Андрей, стр. 69</t>
  </si>
  <si>
    <t xml:space="preserve">Елена С.</t>
  </si>
  <si>
    <t xml:space="preserve">60019179</t>
  </si>
  <si>
    <t xml:space="preserve">терраса</t>
  </si>
  <si>
    <t xml:space="preserve">Наталья, стр. 72</t>
  </si>
  <si>
    <t xml:space="preserve">Урсу Михай</t>
  </si>
  <si>
    <t xml:space="preserve">60035078</t>
  </si>
  <si>
    <t xml:space="preserve">18700</t>
  </si>
  <si>
    <t xml:space="preserve">Наталья, стр. 73</t>
  </si>
  <si>
    <t xml:space="preserve">Райлян Валериу</t>
  </si>
  <si>
    <t xml:space="preserve">60016578</t>
  </si>
  <si>
    <t xml:space="preserve">не берёт трубку, повторный клиент</t>
  </si>
  <si>
    <t xml:space="preserve">Ion, стр. 62</t>
  </si>
  <si>
    <t xml:space="preserve">Ana Postolachi</t>
  </si>
  <si>
    <t xml:space="preserve">60007201</t>
  </si>
  <si>
    <t xml:space="preserve">Ion, стр. 63</t>
  </si>
  <si>
    <t xml:space="preserve">Alexandru Bivol</t>
  </si>
  <si>
    <t xml:space="preserve">60059243</t>
  </si>
  <si>
    <t xml:space="preserve">18300</t>
  </si>
  <si>
    <t xml:space="preserve">Наталья, стр. 74</t>
  </si>
  <si>
    <t xml:space="preserve">Кравченко Оксана</t>
  </si>
  <si>
    <t xml:space="preserve">60068864</t>
  </si>
  <si>
    <t xml:space="preserve">3500</t>
  </si>
  <si>
    <t xml:space="preserve">Наталья, стр. 75</t>
  </si>
  <si>
    <t xml:space="preserve">Цуркану Лилиана</t>
  </si>
  <si>
    <t xml:space="preserve">60041202</t>
  </si>
  <si>
    <t xml:space="preserve">3800</t>
  </si>
  <si>
    <t xml:space="preserve">Ion, стр. 64</t>
  </si>
  <si>
    <t xml:space="preserve">Сергей Кравченко</t>
  </si>
  <si>
    <t xml:space="preserve">60045239</t>
  </si>
  <si>
    <t xml:space="preserve">Андрей, стр. 70</t>
  </si>
  <si>
    <t xml:space="preserve">Геннадий Петренко</t>
  </si>
  <si>
    <t xml:space="preserve">60038183</t>
  </si>
  <si>
    <t xml:space="preserve">5100</t>
  </si>
  <si>
    <t xml:space="preserve">Наталья, стр. 76</t>
  </si>
  <si>
    <t xml:space="preserve">Морару Дойна</t>
  </si>
  <si>
    <t xml:space="preserve">60066607</t>
  </si>
  <si>
    <t xml:space="preserve">Ion, стр. 65</t>
  </si>
  <si>
    <t xml:space="preserve">Veronica Munteanu</t>
  </si>
  <si>
    <t xml:space="preserve">60054732</t>
  </si>
  <si>
    <t xml:space="preserve">56800</t>
  </si>
  <si>
    <t xml:space="preserve">передумал, повторный клиент</t>
  </si>
  <si>
    <t xml:space="preserve">Ion, стр. 66</t>
  </si>
  <si>
    <t xml:space="preserve">Alexandru Ursu</t>
  </si>
  <si>
    <t xml:space="preserve">60024208</t>
  </si>
  <si>
    <t xml:space="preserve">15.500 lei</t>
  </si>
  <si>
    <t xml:space="preserve">Ion, стр. 67</t>
  </si>
  <si>
    <t xml:space="preserve">Pomul Prim Plus S.R.L.</t>
  </si>
  <si>
    <t xml:space="preserve">22023292</t>
  </si>
  <si>
    <t xml:space="preserve">depozit: ferestre + uși</t>
  </si>
  <si>
    <t xml:space="preserve">€4 300</t>
  </si>
  <si>
    <t xml:space="preserve">евро: €4 300</t>
  </si>
  <si>
    <t xml:space="preserve">Андрей, стр. 71</t>
  </si>
  <si>
    <t xml:space="preserve">Людмила Ф.</t>
  </si>
  <si>
    <t xml:space="preserve">60039525</t>
  </si>
  <si>
    <t xml:space="preserve">клиент также записан у Андрей (стр. 73, статус «пропал»)</t>
  </si>
  <si>
    <t xml:space="preserve">Андрей, стр. 73</t>
  </si>
  <si>
    <t xml:space="preserve">Точная копия строки 71 на листе Андрей</t>
  </si>
  <si>
    <t xml:space="preserve">Наталья, стр. 77</t>
  </si>
  <si>
    <t xml:space="preserve">Ткаченко Дмитрий</t>
  </si>
  <si>
    <t xml:space="preserve">60042122</t>
  </si>
  <si>
    <t xml:space="preserve">111 200 лей</t>
  </si>
  <si>
    <t xml:space="preserve">Наталья, стр. 78</t>
  </si>
  <si>
    <t xml:space="preserve">Бежан Аурелия</t>
  </si>
  <si>
    <t xml:space="preserve">60047895</t>
  </si>
  <si>
    <t xml:space="preserve">клиент также записан у Наталья (стр. 80, статус «Отказ»)</t>
  </si>
  <si>
    <t xml:space="preserve">Наталья, стр. 79</t>
  </si>
  <si>
    <t xml:space="preserve">Морару Татьяна</t>
  </si>
  <si>
    <t xml:space="preserve">60076542</t>
  </si>
  <si>
    <t xml:space="preserve">Наталья, стр. 80</t>
  </si>
  <si>
    <t xml:space="preserve">Точная копия строки 78 на листе Наталья</t>
  </si>
  <si>
    <t xml:space="preserve">Ion, стр. 68</t>
  </si>
  <si>
    <t xml:space="preserve">Светлана Волкова</t>
  </si>
  <si>
    <t xml:space="preserve">60006398</t>
  </si>
  <si>
    <t xml:space="preserve">Наталья, стр. 81</t>
  </si>
  <si>
    <t xml:space="preserve">Гросу Лилиана</t>
  </si>
  <si>
    <t xml:space="preserve">60066411</t>
  </si>
  <si>
    <t xml:space="preserve">11900</t>
  </si>
  <si>
    <t xml:space="preserve">Договор</t>
  </si>
  <si>
    <t xml:space="preserve">клиент также записан у Андрей (стр. 75, статус «дубль?»)</t>
  </si>
  <si>
    <t xml:space="preserve">Ion, стр. 69</t>
  </si>
  <si>
    <t xml:space="preserve">Veronica Moraru</t>
  </si>
  <si>
    <t xml:space="preserve">60009126</t>
  </si>
  <si>
    <t xml:space="preserve">Андрей, стр. 72</t>
  </si>
  <si>
    <t xml:space="preserve">60046793</t>
  </si>
  <si>
    <t xml:space="preserve">Наталья, стр. 82</t>
  </si>
  <si>
    <t xml:space="preserve">SRL «Zăvoi Prim»</t>
  </si>
  <si>
    <t xml:space="preserve">22011516</t>
  </si>
  <si>
    <t xml:space="preserve">147 000 лей</t>
  </si>
  <si>
    <t xml:space="preserve">Наталья, стр. 83</t>
  </si>
  <si>
    <t xml:space="preserve">Кузнецова Светлана</t>
  </si>
  <si>
    <t xml:space="preserve">60026905</t>
  </si>
  <si>
    <t xml:space="preserve">69300</t>
  </si>
  <si>
    <t xml:space="preserve">Наталья, стр. 84</t>
  </si>
  <si>
    <t xml:space="preserve">Кравченко Юрий</t>
  </si>
  <si>
    <t xml:space="preserve">60059425</t>
  </si>
  <si>
    <t xml:space="preserve">Ion, стр. 70</t>
  </si>
  <si>
    <t xml:space="preserve">Veronica Bejan</t>
  </si>
  <si>
    <t xml:space="preserve">60089085</t>
  </si>
  <si>
    <t xml:space="preserve">Андрей, стр. 74</t>
  </si>
  <si>
    <t xml:space="preserve">Лариса М.</t>
  </si>
  <si>
    <t xml:space="preserve">60028916</t>
  </si>
  <si>
    <t xml:space="preserve">Андрей, стр. 75</t>
  </si>
  <si>
    <t xml:space="preserve">Лилиана Г.</t>
  </si>
  <si>
    <t xml:space="preserve">дубль?</t>
  </si>
  <si>
    <t xml:space="preserve">Тот же клиент (тел. 60066411), что у Наталья, стр. 81 — в воронке учтена та запись</t>
  </si>
  <si>
    <t xml:space="preserve">Наталья, стр. 85</t>
  </si>
  <si>
    <t xml:space="preserve">Морару Кристина</t>
  </si>
  <si>
    <t xml:space="preserve">60079682</t>
  </si>
  <si>
    <t xml:space="preserve">vrea reducere</t>
  </si>
  <si>
    <t xml:space="preserve">Наталья, стр. 86</t>
  </si>
  <si>
    <t xml:space="preserve">Кожокару Лилиана</t>
  </si>
  <si>
    <t xml:space="preserve">60067534</t>
  </si>
  <si>
    <t xml:space="preserve">Наталья, стр. 87</t>
  </si>
  <si>
    <t xml:space="preserve">Гросу Михай</t>
  </si>
  <si>
    <t xml:space="preserve">60075282</t>
  </si>
  <si>
    <t xml:space="preserve">27100</t>
  </si>
  <si>
    <t xml:space="preserve">Ion, стр. 72</t>
  </si>
  <si>
    <t xml:space="preserve">Людмила Иванова</t>
  </si>
  <si>
    <t xml:space="preserve">60025963</t>
  </si>
  <si>
    <t xml:space="preserve">Андрей, стр. 76</t>
  </si>
  <si>
    <t xml:space="preserve">Василе (Буюканы)</t>
  </si>
  <si>
    <t xml:space="preserve">21700</t>
  </si>
  <si>
    <t xml:space="preserve">Наталья, стр. 88</t>
  </si>
  <si>
    <t xml:space="preserve">Гуцу Серджиу</t>
  </si>
  <si>
    <t xml:space="preserve">60075025</t>
  </si>
  <si>
    <t xml:space="preserve">6500</t>
  </si>
  <si>
    <t xml:space="preserve">Андрей, стр. 77</t>
  </si>
  <si>
    <t xml:space="preserve">Игорь (Ботаника)</t>
  </si>
  <si>
    <t xml:space="preserve">25500</t>
  </si>
  <si>
    <t xml:space="preserve">Наталья, стр. 89</t>
  </si>
  <si>
    <t xml:space="preserve">Чеботарь Аурелия</t>
  </si>
  <si>
    <t xml:space="preserve">60013090</t>
  </si>
  <si>
    <t xml:space="preserve">Наталья, стр. 90</t>
  </si>
  <si>
    <t xml:space="preserve">Сырбу Думитру</t>
  </si>
  <si>
    <t xml:space="preserve">60083459</t>
  </si>
  <si>
    <t xml:space="preserve">Наталья, стр. 91</t>
  </si>
  <si>
    <t xml:space="preserve">Попеску Ион</t>
  </si>
  <si>
    <t xml:space="preserve">60079273</t>
  </si>
  <si>
    <t xml:space="preserve">27400</t>
  </si>
  <si>
    <t xml:space="preserve">клиент также записан у Ион (стр. 77, статус «передал Наталье»)</t>
  </si>
  <si>
    <t xml:space="preserve">Ion, стр. 73</t>
  </si>
  <si>
    <t xml:space="preserve">Алла Ткаченко</t>
  </si>
  <si>
    <t xml:space="preserve">60026701</t>
  </si>
  <si>
    <t xml:space="preserve">23300,00</t>
  </si>
  <si>
    <t xml:space="preserve">выбрал конкурентов, 4-камерный профиль</t>
  </si>
  <si>
    <t xml:space="preserve">Ion, стр. 74</t>
  </si>
  <si>
    <t xml:space="preserve">Vitalie Goncearenco</t>
  </si>
  <si>
    <t xml:space="preserve">60064925</t>
  </si>
  <si>
    <t xml:space="preserve">25.800 lei</t>
  </si>
  <si>
    <t xml:space="preserve">Наталья, стр. 92</t>
  </si>
  <si>
    <t xml:space="preserve">Ротару Дойна</t>
  </si>
  <si>
    <t xml:space="preserve">60087986</t>
  </si>
  <si>
    <t xml:space="preserve">Ion, стр. 75</t>
  </si>
  <si>
    <t xml:space="preserve">Юрий Ковальчук</t>
  </si>
  <si>
    <t xml:space="preserve">60002018</t>
  </si>
  <si>
    <t xml:space="preserve">просто узнать цену, vrea reducere</t>
  </si>
  <si>
    <t xml:space="preserve">Ion, стр. 76</t>
  </si>
  <si>
    <t xml:space="preserve">Павел Шевченко</t>
  </si>
  <si>
    <t xml:space="preserve">60016729</t>
  </si>
  <si>
    <t xml:space="preserve">Ion, стр. 77</t>
  </si>
  <si>
    <t xml:space="preserve">Ion Popescu</t>
  </si>
  <si>
    <t xml:space="preserve">передал Наталье</t>
  </si>
  <si>
    <t xml:space="preserve">Тот же клиент (тел. 60079273), что у Наталья, стр. 91 — в воронке учтена та запись</t>
  </si>
  <si>
    <t xml:space="preserve">Андрей, стр. 78</t>
  </si>
  <si>
    <t xml:space="preserve">60080145</t>
  </si>
  <si>
    <t xml:space="preserve">Наталья, стр. 93</t>
  </si>
  <si>
    <t xml:space="preserve">Ботнарь Валериу</t>
  </si>
  <si>
    <t xml:space="preserve">60061704</t>
  </si>
  <si>
    <t xml:space="preserve">17200</t>
  </si>
  <si>
    <t xml:space="preserve">Наталья, стр. 94</t>
  </si>
  <si>
    <t xml:space="preserve">Кузнецов Виталий</t>
  </si>
  <si>
    <t xml:space="preserve">60086859</t>
  </si>
  <si>
    <t xml:space="preserve">клиент также записан у Наталья (стр. 95, статус «Отказ»)</t>
  </si>
  <si>
    <t xml:space="preserve">Наталья, стр. 95</t>
  </si>
  <si>
    <t xml:space="preserve">Точная копия строки 94 на листе Наталья</t>
  </si>
  <si>
    <t xml:space="preserve">Ion, стр. 78</t>
  </si>
  <si>
    <t xml:space="preserve">Radu Botnari</t>
  </si>
  <si>
    <t xml:space="preserve">60090329</t>
  </si>
  <si>
    <t xml:space="preserve">просто узнать цену, старые деревянные, демонтаж</t>
  </si>
  <si>
    <t xml:space="preserve">Ion, стр. 79</t>
  </si>
  <si>
    <t xml:space="preserve">Aurelia Negru</t>
  </si>
  <si>
    <t xml:space="preserve">60093235</t>
  </si>
  <si>
    <t xml:space="preserve">73500</t>
  </si>
  <si>
    <t xml:space="preserve">Ion, стр. 80</t>
  </si>
  <si>
    <t xml:space="preserve">Vasile Cojocaru</t>
  </si>
  <si>
    <t xml:space="preserve">60097792</t>
  </si>
  <si>
    <t xml:space="preserve">Ion, стр. 81</t>
  </si>
  <si>
    <t xml:space="preserve">Maria Mocanu</t>
  </si>
  <si>
    <t xml:space="preserve">60016570</t>
  </si>
  <si>
    <t xml:space="preserve">Orhei</t>
  </si>
  <si>
    <t xml:space="preserve">16000,00</t>
  </si>
  <si>
    <t xml:space="preserve">Андрей, стр. 79</t>
  </si>
  <si>
    <t xml:space="preserve">Думитру Кожокару</t>
  </si>
  <si>
    <t xml:space="preserve">60097195</t>
  </si>
  <si>
    <t xml:space="preserve">16800</t>
  </si>
  <si>
    <t xml:space="preserve">опл</t>
  </si>
  <si>
    <t xml:space="preserve">Наталья, стр. 96</t>
  </si>
  <si>
    <t xml:space="preserve">Постолаки Лилиана</t>
  </si>
  <si>
    <t xml:space="preserve">60015851</t>
  </si>
  <si>
    <t xml:space="preserve">не наш регион, 5 этаж без лифта</t>
  </si>
  <si>
    <t xml:space="preserve">Ion, стр. 82</t>
  </si>
  <si>
    <t xml:space="preserve">Alexandru Rusu</t>
  </si>
  <si>
    <t xml:space="preserve">60009993</t>
  </si>
  <si>
    <t xml:space="preserve">Андрей, стр. 80</t>
  </si>
  <si>
    <t xml:space="preserve">Татьяна Мельник</t>
  </si>
  <si>
    <t xml:space="preserve">60036144</t>
  </si>
  <si>
    <t xml:space="preserve">Андрей, стр. 81</t>
  </si>
  <si>
    <t xml:space="preserve">Ольга Белова</t>
  </si>
  <si>
    <t xml:space="preserve">60053810</t>
  </si>
  <si>
    <t xml:space="preserve">Андрей, стр. 82</t>
  </si>
  <si>
    <t xml:space="preserve">Виталий Ковальчук</t>
  </si>
  <si>
    <t xml:space="preserve">60084905</t>
  </si>
  <si>
    <t xml:space="preserve">москитки</t>
  </si>
  <si>
    <t xml:space="preserve">Андрей, стр. 83</t>
  </si>
  <si>
    <t xml:space="preserve">Оксана Петренко (Ботаника)</t>
  </si>
  <si>
    <t xml:space="preserve">Комрат</t>
  </si>
  <si>
    <t xml:space="preserve">Наталья, стр. 97</t>
  </si>
  <si>
    <t xml:space="preserve">Казаку Александру</t>
  </si>
  <si>
    <t xml:space="preserve">60046765</t>
  </si>
  <si>
    <t xml:space="preserve">Наталья, стр. 98</t>
  </si>
  <si>
    <t xml:space="preserve">Урсу Валериу</t>
  </si>
  <si>
    <t xml:space="preserve">60014240</t>
  </si>
  <si>
    <t xml:space="preserve">40500</t>
  </si>
  <si>
    <t xml:space="preserve">Наталья, стр. 99</t>
  </si>
  <si>
    <t xml:space="preserve">Иванов Геннадий</t>
  </si>
  <si>
    <t xml:space="preserve">60048913</t>
  </si>
  <si>
    <t xml:space="preserve">6300</t>
  </si>
  <si>
    <t xml:space="preserve">Андрей, стр. 84</t>
  </si>
  <si>
    <t xml:space="preserve">Геннадий З.</t>
  </si>
  <si>
    <t xml:space="preserve">60051859</t>
  </si>
  <si>
    <t xml:space="preserve">+</t>
  </si>
  <si>
    <t xml:space="preserve">статус «+» трактован как оплата (зелёная строка, есть дата/отметка оплаты)</t>
  </si>
  <si>
    <t xml:space="preserve">Наталья, стр. 100</t>
  </si>
  <si>
    <t xml:space="preserve">Негру Василе</t>
  </si>
  <si>
    <t xml:space="preserve">60016651</t>
  </si>
  <si>
    <t xml:space="preserve">Наталья, стр. 101</t>
  </si>
  <si>
    <t xml:space="preserve">Попова Лариса</t>
  </si>
  <si>
    <t xml:space="preserve">60045039</t>
  </si>
  <si>
    <t xml:space="preserve">63400</t>
  </si>
  <si>
    <t xml:space="preserve">Наталья, стр. 102</t>
  </si>
  <si>
    <t xml:space="preserve">Урсу Дойна</t>
  </si>
  <si>
    <t xml:space="preserve">60061167</t>
  </si>
  <si>
    <t xml:space="preserve">Ion, стр. 83</t>
  </si>
  <si>
    <t xml:space="preserve">Radu Cojocaru</t>
  </si>
  <si>
    <t xml:space="preserve">60050091</t>
  </si>
  <si>
    <t xml:space="preserve">Андрей, стр. 85</t>
  </si>
  <si>
    <t xml:space="preserve">60027138</t>
  </si>
  <si>
    <t xml:space="preserve">41300</t>
  </si>
  <si>
    <t xml:space="preserve">Андрей, стр. 86</t>
  </si>
  <si>
    <t xml:space="preserve">60029445</t>
  </si>
  <si>
    <t xml:space="preserve">Наталья, стр. 103</t>
  </si>
  <si>
    <t xml:space="preserve">Фёдорова Алла</t>
  </si>
  <si>
    <t xml:space="preserve">60043245</t>
  </si>
  <si>
    <t xml:space="preserve">Наталья, стр. 104</t>
  </si>
  <si>
    <t xml:space="preserve">Лупу Валериу</t>
  </si>
  <si>
    <t xml:space="preserve">60025700</t>
  </si>
  <si>
    <t xml:space="preserve">28500</t>
  </si>
  <si>
    <t xml:space="preserve">Наталья, стр. 105</t>
  </si>
  <si>
    <t xml:space="preserve">Мокану Кристина</t>
  </si>
  <si>
    <t xml:space="preserve">60086009</t>
  </si>
  <si>
    <t xml:space="preserve">27 900 лей</t>
  </si>
  <si>
    <t xml:space="preserve">Наталья, стр. 106</t>
  </si>
  <si>
    <t xml:space="preserve">Табакару Кристина</t>
  </si>
  <si>
    <t xml:space="preserve">60021616</t>
  </si>
  <si>
    <t xml:space="preserve">30700</t>
  </si>
  <si>
    <t xml:space="preserve">отложили до весны, хочет скидку</t>
  </si>
  <si>
    <t xml:space="preserve">Ion, стр. 84</t>
  </si>
  <si>
    <t xml:space="preserve">Elena Grosu</t>
  </si>
  <si>
    <t xml:space="preserve">60044912</t>
  </si>
  <si>
    <t xml:space="preserve">plase țânțari</t>
  </si>
  <si>
    <t xml:space="preserve">2 400</t>
  </si>
  <si>
    <t xml:space="preserve">не берёт трубку, нужен монтаж в субботу</t>
  </si>
  <si>
    <t xml:space="preserve">Ion, стр. 85</t>
  </si>
  <si>
    <t xml:space="preserve">Elena Rotaru</t>
  </si>
  <si>
    <t xml:space="preserve">60007751</t>
  </si>
  <si>
    <t xml:space="preserve">Durlesti</t>
  </si>
  <si>
    <t xml:space="preserve">Ion, стр. 86</t>
  </si>
  <si>
    <t xml:space="preserve">Mihai Tabacaru</t>
  </si>
  <si>
    <t xml:space="preserve">60047360</t>
  </si>
  <si>
    <t xml:space="preserve">Ion, стр. 87</t>
  </si>
  <si>
    <t xml:space="preserve">Aurelia Rusu</t>
  </si>
  <si>
    <t xml:space="preserve">60060577</t>
  </si>
  <si>
    <t xml:space="preserve">Андрей, стр. 87</t>
  </si>
  <si>
    <t xml:space="preserve">Лариса Захарова</t>
  </si>
  <si>
    <t xml:space="preserve">60049674</t>
  </si>
  <si>
    <t xml:space="preserve">22900 + монтаж 2500</t>
  </si>
  <si>
    <t xml:space="preserve">включён монтаж (22900 + монтаж 2500)</t>
  </si>
  <si>
    <t xml:space="preserve">Андрей, стр. 88</t>
  </si>
  <si>
    <t xml:space="preserve">Виталий К.</t>
  </si>
  <si>
    <t xml:space="preserve">60048469</t>
  </si>
  <si>
    <t xml:space="preserve">Наталья, стр. 107</t>
  </si>
  <si>
    <t xml:space="preserve">Волков Олег</t>
  </si>
  <si>
    <t xml:space="preserve">60039250</t>
  </si>
  <si>
    <t xml:space="preserve">9 600 лей</t>
  </si>
  <si>
    <t xml:space="preserve">Наталья, стр. 108</t>
  </si>
  <si>
    <t xml:space="preserve">Опря Виктор</t>
  </si>
  <si>
    <t xml:space="preserve">60095138</t>
  </si>
  <si>
    <t xml:space="preserve">Наталья, стр. 109</t>
  </si>
  <si>
    <t xml:space="preserve">Бондаренко Лариса</t>
  </si>
  <si>
    <t xml:space="preserve">60066527</t>
  </si>
  <si>
    <t xml:space="preserve">Наталья, стр. 110</t>
  </si>
  <si>
    <t xml:space="preserve">Чобану Елена</t>
  </si>
  <si>
    <t xml:space="preserve">60036680</t>
  </si>
  <si>
    <t xml:space="preserve">21900 MDL</t>
  </si>
  <si>
    <t xml:space="preserve">Наталья, стр. 111</t>
  </si>
  <si>
    <t xml:space="preserve">Негру Елена</t>
  </si>
  <si>
    <t xml:space="preserve">60028190</t>
  </si>
  <si>
    <t xml:space="preserve">Ion, стр. 88</t>
  </si>
  <si>
    <t xml:space="preserve">Tatiana Postolachi</t>
  </si>
  <si>
    <t xml:space="preserve">60006976</t>
  </si>
  <si>
    <t xml:space="preserve">28.500 lei</t>
  </si>
  <si>
    <t xml:space="preserve">Ion, стр. 89</t>
  </si>
  <si>
    <t xml:space="preserve">Liudmila Kuznețova</t>
  </si>
  <si>
    <t xml:space="preserve">60072489</t>
  </si>
  <si>
    <t xml:space="preserve">Андрей, стр. 89</t>
  </si>
  <si>
    <t xml:space="preserve">Раду</t>
  </si>
  <si>
    <t xml:space="preserve">60028925</t>
  </si>
  <si>
    <t xml:space="preserve">не наш регион, vrea reducere</t>
  </si>
  <si>
    <t xml:space="preserve">Андрей, стр. 90</t>
  </si>
  <si>
    <t xml:space="preserve">Мария Чебан</t>
  </si>
  <si>
    <t xml:space="preserve">60036688</t>
  </si>
  <si>
    <t xml:space="preserve">от Ивана</t>
  </si>
  <si>
    <t xml:space="preserve">14600</t>
  </si>
  <si>
    <t xml:space="preserve">Наталья, стр. 112</t>
  </si>
  <si>
    <t xml:space="preserve">Морару Серджиу</t>
  </si>
  <si>
    <t xml:space="preserve">60091626</t>
  </si>
  <si>
    <t xml:space="preserve">2100</t>
  </si>
  <si>
    <t xml:space="preserve">Наталья, стр. 113</t>
  </si>
  <si>
    <t xml:space="preserve">Ткаченко Павел</t>
  </si>
  <si>
    <t xml:space="preserve">60015654</t>
  </si>
  <si>
    <t xml:space="preserve">7100</t>
  </si>
  <si>
    <t xml:space="preserve">Наталья, стр. 114</t>
  </si>
  <si>
    <t xml:space="preserve">Иванов Юрий</t>
  </si>
  <si>
    <t xml:space="preserve">60015810</t>
  </si>
  <si>
    <t xml:space="preserve">Ion, стр. 90</t>
  </si>
  <si>
    <t xml:space="preserve">Victor Cojocaru</t>
  </si>
  <si>
    <t xml:space="preserve">60012296</t>
  </si>
  <si>
    <t xml:space="preserve">2.900 lei</t>
  </si>
  <si>
    <t xml:space="preserve">Наталья, стр. 115</t>
  </si>
  <si>
    <t xml:space="preserve">Постолаки Василе</t>
  </si>
  <si>
    <t xml:space="preserve">60044437</t>
  </si>
  <si>
    <t xml:space="preserve">Наталья, стр. 116</t>
  </si>
  <si>
    <t xml:space="preserve">Бивол Вероника</t>
  </si>
  <si>
    <t xml:space="preserve">60019045</t>
  </si>
  <si>
    <t xml:space="preserve">8300</t>
  </si>
  <si>
    <t xml:space="preserve">Ion, стр. 91</t>
  </si>
  <si>
    <t xml:space="preserve">Lunca Verde Construct SRL</t>
  </si>
  <si>
    <t xml:space="preserve">22059426</t>
  </si>
  <si>
    <t xml:space="preserve">birou</t>
  </si>
  <si>
    <t xml:space="preserve">135300</t>
  </si>
  <si>
    <t xml:space="preserve">Ion, стр. 92</t>
  </si>
  <si>
    <t xml:space="preserve">Igor Romanov</t>
  </si>
  <si>
    <t xml:space="preserve">60005949</t>
  </si>
  <si>
    <t xml:space="preserve">1770 EUR</t>
  </si>
  <si>
    <t xml:space="preserve">евро: 1770 EUR</t>
  </si>
  <si>
    <t xml:space="preserve">Андрей, стр. 91</t>
  </si>
  <si>
    <t xml:space="preserve">Раду Б.</t>
  </si>
  <si>
    <t xml:space="preserve">60038980</t>
  </si>
  <si>
    <t xml:space="preserve">Андрей, стр. 92</t>
  </si>
  <si>
    <t xml:space="preserve">Павел П.</t>
  </si>
  <si>
    <t xml:space="preserve">60078200</t>
  </si>
  <si>
    <t xml:space="preserve">8.600</t>
  </si>
  <si>
    <t xml:space="preserve">Андрей, стр. 93</t>
  </si>
  <si>
    <t xml:space="preserve">Виктор Мокану</t>
  </si>
  <si>
    <t xml:space="preserve">60029678</t>
  </si>
  <si>
    <t xml:space="preserve">Андрей, стр. 94</t>
  </si>
  <si>
    <t xml:space="preserve">60084881</t>
  </si>
  <si>
    <t xml:space="preserve">Наталья, стр. 117</t>
  </si>
  <si>
    <t xml:space="preserve">Ткаченко Игорь</t>
  </si>
  <si>
    <t xml:space="preserve">60040230</t>
  </si>
  <si>
    <t xml:space="preserve">1400</t>
  </si>
  <si>
    <t xml:space="preserve">Ion, стр. 93</t>
  </si>
  <si>
    <t xml:space="preserve">Светлана Бондаренко</t>
  </si>
  <si>
    <t xml:space="preserve">60031592</t>
  </si>
  <si>
    <t xml:space="preserve">Андрей, стр. 95</t>
  </si>
  <si>
    <t xml:space="preserve">Виталий З. (Буюканы)</t>
  </si>
  <si>
    <t xml:space="preserve">16100</t>
  </si>
  <si>
    <t xml:space="preserve">Наталья, стр. 118</t>
  </si>
  <si>
    <t xml:space="preserve">Гросу Кристина</t>
  </si>
  <si>
    <t xml:space="preserve">60001408</t>
  </si>
  <si>
    <t xml:space="preserve">33700</t>
  </si>
  <si>
    <t xml:space="preserve">дорого, белые</t>
  </si>
  <si>
    <t xml:space="preserve">Наталья, стр. 119</t>
  </si>
  <si>
    <t xml:space="preserve">Бондаренко Оксана</t>
  </si>
  <si>
    <t xml:space="preserve">60056346</t>
  </si>
  <si>
    <t xml:space="preserve">Наталья, стр. 120</t>
  </si>
  <si>
    <t xml:space="preserve">Опря Николае</t>
  </si>
  <si>
    <t xml:space="preserve">60064496</t>
  </si>
  <si>
    <t xml:space="preserve">Ion, стр. 94</t>
  </si>
  <si>
    <t xml:space="preserve">Ирина Морозова</t>
  </si>
  <si>
    <t xml:space="preserve">60010823</t>
  </si>
  <si>
    <t xml:space="preserve">5700,00</t>
  </si>
  <si>
    <t xml:space="preserve">клиент также записан у Андрей (стр. 100, статус «дубль?»)</t>
  </si>
  <si>
    <t xml:space="preserve">передумал, жена решает</t>
  </si>
  <si>
    <t xml:space="preserve">Ion, стр. 95</t>
  </si>
  <si>
    <t xml:space="preserve">Alexandru Grosu</t>
  </si>
  <si>
    <t xml:space="preserve">60012536</t>
  </si>
  <si>
    <t xml:space="preserve">Strășeni</t>
  </si>
  <si>
    <t xml:space="preserve">10900 lei</t>
  </si>
  <si>
    <t xml:space="preserve">Андрей, стр. 96</t>
  </si>
  <si>
    <t xml:space="preserve">Дойна Табакару</t>
  </si>
  <si>
    <t xml:space="preserve">60017162</t>
  </si>
  <si>
    <t xml:space="preserve">Андрей, стр. 98</t>
  </si>
  <si>
    <t xml:space="preserve">Галина Ш.</t>
  </si>
  <si>
    <t xml:space="preserve">60026754</t>
  </si>
  <si>
    <t xml:space="preserve">Ion, стр. 96</t>
  </si>
  <si>
    <t xml:space="preserve">Alexandru Negru</t>
  </si>
  <si>
    <t xml:space="preserve">60013959</t>
  </si>
  <si>
    <t xml:space="preserve">Наталья, стр. 121</t>
  </si>
  <si>
    <t xml:space="preserve">Лысенко Дмитрий</t>
  </si>
  <si>
    <t xml:space="preserve">60034921</t>
  </si>
  <si>
    <t xml:space="preserve">74800</t>
  </si>
  <si>
    <t xml:space="preserve">не берёт трубку, белые</t>
  </si>
  <si>
    <t xml:space="preserve">Наталья, стр. 122</t>
  </si>
  <si>
    <t xml:space="preserve">Бежан Кристина</t>
  </si>
  <si>
    <t xml:space="preserve">60058154</t>
  </si>
  <si>
    <t xml:space="preserve">Ion, стр. 97</t>
  </si>
  <si>
    <t xml:space="preserve">Iurie Petrenco</t>
  </si>
  <si>
    <t xml:space="preserve">60023672</t>
  </si>
  <si>
    <t xml:space="preserve">8500 lei</t>
  </si>
  <si>
    <t xml:space="preserve">Ion, стр. 98</t>
  </si>
  <si>
    <t xml:space="preserve">Elena Botnari</t>
  </si>
  <si>
    <t xml:space="preserve">60040461</t>
  </si>
  <si>
    <t xml:space="preserve">Ion, стр. 99</t>
  </si>
  <si>
    <t xml:space="preserve">Irina Cozlova</t>
  </si>
  <si>
    <t xml:space="preserve">60035827</t>
  </si>
  <si>
    <t xml:space="preserve">Ion, стр. 100</t>
  </si>
  <si>
    <t xml:space="preserve">Лариса Иванова</t>
  </si>
  <si>
    <t xml:space="preserve">60090477</t>
  </si>
  <si>
    <t xml:space="preserve">7 700</t>
  </si>
  <si>
    <t xml:space="preserve">Ion, стр. 101</t>
  </si>
  <si>
    <t xml:space="preserve">Сергей Гончаренко</t>
  </si>
  <si>
    <t xml:space="preserve">60061660</t>
  </si>
  <si>
    <t xml:space="preserve">31900,00</t>
  </si>
  <si>
    <t xml:space="preserve">Андрей, стр. 97</t>
  </si>
  <si>
    <t xml:space="preserve">Ольга К.</t>
  </si>
  <si>
    <t xml:space="preserve">60042208</t>
  </si>
  <si>
    <t xml:space="preserve">Андрей, стр. 99</t>
  </si>
  <si>
    <t xml:space="preserve">60045780</t>
  </si>
  <si>
    <t xml:space="preserve">сосед посоветовал</t>
  </si>
  <si>
    <t xml:space="preserve">Андрей, стр. 100</t>
  </si>
  <si>
    <t xml:space="preserve">Тот же клиент (тел. 60010823), что у Ион, стр. 94 — в воронке учтена та запись</t>
  </si>
  <si>
    <t xml:space="preserve">Наталья, стр. 123</t>
  </si>
  <si>
    <t xml:space="preserve">Мельник Аурелия</t>
  </si>
  <si>
    <t xml:space="preserve">60049550</t>
  </si>
  <si>
    <t xml:space="preserve">25 800 лей</t>
  </si>
  <si>
    <t xml:space="preserve">Наталья, стр. 124</t>
  </si>
  <si>
    <t xml:space="preserve">Лупу Лилиана</t>
  </si>
  <si>
    <t xml:space="preserve">60002561</t>
  </si>
  <si>
    <t xml:space="preserve">7 000 лей</t>
  </si>
  <si>
    <t xml:space="preserve">Андрей, стр. 101</t>
  </si>
  <si>
    <t xml:space="preserve">Михай</t>
  </si>
  <si>
    <t xml:space="preserve">60026321</t>
  </si>
  <si>
    <t xml:space="preserve">27200 + монтаж 1500</t>
  </si>
  <si>
    <t xml:space="preserve">включён монтаж (27200 + монтаж 1500)</t>
  </si>
  <si>
    <t xml:space="preserve">Наталья, стр. 125</t>
  </si>
  <si>
    <t xml:space="preserve">SRL «Tomaș Logistic»</t>
  </si>
  <si>
    <t xml:space="preserve">22026447</t>
  </si>
  <si>
    <t xml:space="preserve">179000</t>
  </si>
  <si>
    <t xml:space="preserve">Ion, стр. 102</t>
  </si>
  <si>
    <t xml:space="preserve">Геннадий Бондаренко</t>
  </si>
  <si>
    <t xml:space="preserve">60033149</t>
  </si>
  <si>
    <t xml:space="preserve">Ion, стр. 103</t>
  </si>
  <si>
    <t xml:space="preserve">Aurelia Lupu</t>
  </si>
  <si>
    <t xml:space="preserve">60028205</t>
  </si>
  <si>
    <t xml:space="preserve">Ion, стр. 104</t>
  </si>
  <si>
    <t xml:space="preserve">Alla Volcova</t>
  </si>
  <si>
    <t xml:space="preserve">60039804</t>
  </si>
  <si>
    <t xml:space="preserve">Андрей, стр. 102</t>
  </si>
  <si>
    <t xml:space="preserve">Валериу П.</t>
  </si>
  <si>
    <t xml:space="preserve">60085999</t>
  </si>
  <si>
    <t xml:space="preserve">Наталья, стр. 126</t>
  </si>
  <si>
    <t xml:space="preserve">Мокану Николае</t>
  </si>
  <si>
    <t xml:space="preserve">60012029</t>
  </si>
  <si>
    <t xml:space="preserve">38400</t>
  </si>
  <si>
    <t xml:space="preserve">Наталья, стр. 128</t>
  </si>
  <si>
    <t xml:space="preserve">Кравченко Лариса</t>
  </si>
  <si>
    <t xml:space="preserve">60087426</t>
  </si>
  <si>
    <t xml:space="preserve">Тот же клиент (тел. 60087426), что у Андрей, стр. 103 — в воронке учтена та запись</t>
  </si>
  <si>
    <t xml:space="preserve">Ion, стр. 105</t>
  </si>
  <si>
    <t xml:space="preserve">SRL Colinele Nord</t>
  </si>
  <si>
    <t xml:space="preserve">22038546</t>
  </si>
  <si>
    <t xml:space="preserve">71600 lei</t>
  </si>
  <si>
    <t xml:space="preserve">Ion, стр. 106</t>
  </si>
  <si>
    <t xml:space="preserve">Ana Țurcanu</t>
  </si>
  <si>
    <t xml:space="preserve">60099877</t>
  </si>
  <si>
    <t xml:space="preserve">Straseni</t>
  </si>
  <si>
    <t xml:space="preserve">Ion, стр. 108</t>
  </si>
  <si>
    <t xml:space="preserve">Nicolae Bivol</t>
  </si>
  <si>
    <t xml:space="preserve">60039494</t>
  </si>
  <si>
    <t xml:space="preserve">Андрей, стр. 103</t>
  </si>
  <si>
    <t xml:space="preserve">Лариса Кравченко</t>
  </si>
  <si>
    <t xml:space="preserve">клиент также записан у Наталья (стр. 128, статус «Передала Андрею»)</t>
  </si>
  <si>
    <t xml:space="preserve">Ion, стр. 107</t>
  </si>
  <si>
    <t xml:space="preserve">Victor Sârbu</t>
  </si>
  <si>
    <t xml:space="preserve">60064088</t>
  </si>
  <si>
    <t xml:space="preserve">Ion, стр. 109</t>
  </si>
  <si>
    <t xml:space="preserve">Сергей Фёдоров</t>
  </si>
  <si>
    <t xml:space="preserve">60078261</t>
  </si>
  <si>
    <t xml:space="preserve">Ion, стр. 110</t>
  </si>
  <si>
    <t xml:space="preserve">Виталий Ткаченко</t>
  </si>
  <si>
    <t xml:space="preserve">60002667</t>
  </si>
  <si>
    <t xml:space="preserve">40.500 lei</t>
  </si>
  <si>
    <t xml:space="preserve">выбрал конкурентов, повторный клиент</t>
  </si>
  <si>
    <t xml:space="preserve">Андрей, стр. 104</t>
  </si>
  <si>
    <t xml:space="preserve">Дойна Кожокару</t>
  </si>
  <si>
    <t xml:space="preserve">60063251</t>
  </si>
  <si>
    <t xml:space="preserve">Ion, стр. 111</t>
  </si>
  <si>
    <t xml:space="preserve">Cristina Cebotari</t>
  </si>
  <si>
    <t xml:space="preserve">60096401</t>
  </si>
  <si>
    <t xml:space="preserve">31700,00</t>
  </si>
  <si>
    <t xml:space="preserve">Ion, стр. 112</t>
  </si>
  <si>
    <t xml:space="preserve">Павел Гончаренко</t>
  </si>
  <si>
    <t xml:space="preserve">60059316</t>
  </si>
  <si>
    <t xml:space="preserve">Андрей, стр. 109</t>
  </si>
  <si>
    <t xml:space="preserve">60021902</t>
  </si>
  <si>
    <t xml:space="preserve">дата оплаты не указана («+»)</t>
  </si>
  <si>
    <t xml:space="preserve">Наталья, стр. 127</t>
  </si>
  <si>
    <t xml:space="preserve">Соколов Дмитрий</t>
  </si>
  <si>
    <t xml:space="preserve">60097658</t>
  </si>
  <si>
    <t xml:space="preserve">Наталья, стр. 129</t>
  </si>
  <si>
    <t xml:space="preserve">Опря Валериу</t>
  </si>
  <si>
    <t xml:space="preserve">60016747</t>
  </si>
  <si>
    <t xml:space="preserve">34200</t>
  </si>
  <si>
    <t xml:space="preserve">Ion, стр. 113</t>
  </si>
  <si>
    <t xml:space="preserve">Aurelia Mocanu</t>
  </si>
  <si>
    <t xml:space="preserve">60043144</t>
  </si>
  <si>
    <t xml:space="preserve">Ion, стр. 114</t>
  </si>
  <si>
    <t xml:space="preserve">Doina Cebotari</t>
  </si>
  <si>
    <t xml:space="preserve">60030121</t>
  </si>
  <si>
    <t xml:space="preserve">клиент также записан у Андрей (стр. 113, статус «передал Иону»)</t>
  </si>
  <si>
    <t xml:space="preserve">Андрей, стр. 108</t>
  </si>
  <si>
    <t xml:space="preserve">Светлана Романова</t>
  </si>
  <si>
    <t xml:space="preserve">60045863</t>
  </si>
  <si>
    <t xml:space="preserve">5.100</t>
  </si>
  <si>
    <t xml:space="preserve">Андрей, стр. 110</t>
  </si>
  <si>
    <t xml:space="preserve">Олег З.</t>
  </si>
  <si>
    <t xml:space="preserve">60098368</t>
  </si>
  <si>
    <t xml:space="preserve">передумал, 4-камерный профиль</t>
  </si>
  <si>
    <t xml:space="preserve">Наталья, стр. 130</t>
  </si>
  <si>
    <t xml:space="preserve">Лунгу Аурелия</t>
  </si>
  <si>
    <t xml:space="preserve">60061032</t>
  </si>
  <si>
    <t xml:space="preserve">24400</t>
  </si>
  <si>
    <t xml:space="preserve">Наталья, стр. 131</t>
  </si>
  <si>
    <t xml:space="preserve">Шевченко Людмила</t>
  </si>
  <si>
    <t xml:space="preserve">60076385</t>
  </si>
  <si>
    <t xml:space="preserve">5800</t>
  </si>
  <si>
    <t xml:space="preserve">Ion, стр. 115</t>
  </si>
  <si>
    <t xml:space="preserve">Svetlana Belova</t>
  </si>
  <si>
    <t xml:space="preserve">60031825</t>
  </si>
  <si>
    <t xml:space="preserve">Андрей, стр. 111</t>
  </si>
  <si>
    <t xml:space="preserve">Дмитрий Савченко</t>
  </si>
  <si>
    <t xml:space="preserve">60093147</t>
  </si>
  <si>
    <t xml:space="preserve">29900</t>
  </si>
  <si>
    <t xml:space="preserve">Андрей, стр. 112</t>
  </si>
  <si>
    <t xml:space="preserve">Светлана Ш.</t>
  </si>
  <si>
    <t xml:space="preserve">60045322</t>
  </si>
  <si>
    <t xml:space="preserve">Андрей, стр. 113</t>
  </si>
  <si>
    <t xml:space="preserve">Дойна Ч.</t>
  </si>
  <si>
    <t xml:space="preserve">передал Иону</t>
  </si>
  <si>
    <t xml:space="preserve">Тот же клиент (тел. 60030121), что у Ион, стр. 114 — в воронке учтена та запись</t>
  </si>
  <si>
    <t xml:space="preserve">уже общался с нами</t>
  </si>
  <si>
    <t xml:space="preserve">Наталья, стр. 132</t>
  </si>
  <si>
    <t xml:space="preserve">Морозов Геннадий</t>
  </si>
  <si>
    <t xml:space="preserve">60092013</t>
  </si>
  <si>
    <t xml:space="preserve">Наталья, стр. 133</t>
  </si>
  <si>
    <t xml:space="preserve">Белов Павел</t>
  </si>
  <si>
    <t xml:space="preserve">60008949</t>
  </si>
  <si>
    <t xml:space="preserve">Ion, стр. 116</t>
  </si>
  <si>
    <t xml:space="preserve">Павел Захаров</t>
  </si>
  <si>
    <t xml:space="preserve">60080794</t>
  </si>
  <si>
    <t xml:space="preserve">Ion, стр. 117</t>
  </si>
  <si>
    <t xml:space="preserve">Liliana Lungu</t>
  </si>
  <si>
    <t xml:space="preserve">60014732</t>
  </si>
  <si>
    <t xml:space="preserve">Ion, стр. 118</t>
  </si>
  <si>
    <t xml:space="preserve">Cristina Ursu</t>
  </si>
  <si>
    <t xml:space="preserve">60098198</t>
  </si>
  <si>
    <t xml:space="preserve">Ion, стр. 119</t>
  </si>
  <si>
    <t xml:space="preserve">Doina Melnic</t>
  </si>
  <si>
    <t xml:space="preserve">60033965</t>
  </si>
  <si>
    <t xml:space="preserve">Андрей, стр. 114</t>
  </si>
  <si>
    <t xml:space="preserve">Николае С.</t>
  </si>
  <si>
    <t xml:space="preserve">60005851</t>
  </si>
  <si>
    <t xml:space="preserve">Андрей, стр. 115</t>
  </si>
  <si>
    <t xml:space="preserve">Мария</t>
  </si>
  <si>
    <t xml:space="preserve">60061003</t>
  </si>
  <si>
    <t xml:space="preserve">~34к</t>
  </si>
  <si>
    <t xml:space="preserve">приблизительно (~34к)</t>
  </si>
  <si>
    <t xml:space="preserve">Андрей, стр. 116</t>
  </si>
  <si>
    <t xml:space="preserve">Александру М.</t>
  </si>
  <si>
    <t xml:space="preserve">60044958</t>
  </si>
  <si>
    <t xml:space="preserve">Наталья, стр. 134</t>
  </si>
  <si>
    <t xml:space="preserve">Опря Аурелия</t>
  </si>
  <si>
    <t xml:space="preserve">60022852</t>
  </si>
  <si>
    <t xml:space="preserve">Наталья, стр. 135</t>
  </si>
  <si>
    <t xml:space="preserve">Постолаки Аурелия</t>
  </si>
  <si>
    <t xml:space="preserve">60038046</t>
  </si>
  <si>
    <t xml:space="preserve">17000</t>
  </si>
  <si>
    <t xml:space="preserve">Андрей, стр. 117</t>
  </si>
  <si>
    <t xml:space="preserve">Михай Лупу</t>
  </si>
  <si>
    <t xml:space="preserve">60080856</t>
  </si>
  <si>
    <t xml:space="preserve">47500</t>
  </si>
  <si>
    <t xml:space="preserve">Ion, стр. 120</t>
  </si>
  <si>
    <t xml:space="preserve">Aurelia Botnari</t>
  </si>
  <si>
    <t xml:space="preserve">60025483</t>
  </si>
  <si>
    <t xml:space="preserve">передумал, vrea reducere</t>
  </si>
  <si>
    <t xml:space="preserve">Ion, стр. 121</t>
  </si>
  <si>
    <t xml:space="preserve">Лариса Ткаченко</t>
  </si>
  <si>
    <t xml:space="preserve">60003485</t>
  </si>
  <si>
    <t xml:space="preserve">6700,00</t>
  </si>
  <si>
    <t xml:space="preserve">клиент также записан у Ион (стр. 123, статус «achitat ✓»)</t>
  </si>
  <si>
    <t xml:space="preserve">Ion, стр. 122</t>
  </si>
  <si>
    <t xml:space="preserve">Ana Ciobanu</t>
  </si>
  <si>
    <t xml:space="preserve">60048016</t>
  </si>
  <si>
    <t xml:space="preserve">36200</t>
  </si>
  <si>
    <t xml:space="preserve">Ion, стр. 123</t>
  </si>
  <si>
    <t xml:space="preserve">Точная копия строки 121 на листе Ион</t>
  </si>
  <si>
    <t xml:space="preserve">Андрей, стр. 118</t>
  </si>
  <si>
    <t xml:space="preserve">Василе Сырбу</t>
  </si>
  <si>
    <t xml:space="preserve">60016009</t>
  </si>
  <si>
    <t xml:space="preserve">27200</t>
  </si>
  <si>
    <t xml:space="preserve">Андрей, стр. 119</t>
  </si>
  <si>
    <t xml:space="preserve">Кристина Б.</t>
  </si>
  <si>
    <t xml:space="preserve">60089118</t>
  </si>
  <si>
    <t xml:space="preserve">7500</t>
  </si>
  <si>
    <t xml:space="preserve">Андрей, стр. 120</t>
  </si>
  <si>
    <t xml:space="preserve">Думитру Мокану</t>
  </si>
  <si>
    <t xml:space="preserve">60031001</t>
  </si>
  <si>
    <t xml:space="preserve">22500</t>
  </si>
  <si>
    <t xml:space="preserve">Андрей, стр. 121</t>
  </si>
  <si>
    <t xml:space="preserve">Аурелия Р.</t>
  </si>
  <si>
    <t xml:space="preserve">60094834</t>
  </si>
  <si>
    <t xml:space="preserve">Андрей, стр. 122</t>
  </si>
  <si>
    <t xml:space="preserve">Валериу Кожокару</t>
  </si>
  <si>
    <t xml:space="preserve">60015817</t>
  </si>
  <si>
    <t xml:space="preserve">Наталья, стр. 136</t>
  </si>
  <si>
    <t xml:space="preserve">Опря Вероника</t>
  </si>
  <si>
    <t xml:space="preserve">60074923</t>
  </si>
  <si>
    <t xml:space="preserve">Ion, стр. 124</t>
  </si>
  <si>
    <t xml:space="preserve">Дмитрий Морозов</t>
  </si>
  <si>
    <t xml:space="preserve">60071162</t>
  </si>
  <si>
    <t xml:space="preserve">13.500 lei</t>
  </si>
  <si>
    <t xml:space="preserve">Ion, стр. 125</t>
  </si>
  <si>
    <t xml:space="preserve">Сергей Белов</t>
  </si>
  <si>
    <t xml:space="preserve">60085346</t>
  </si>
  <si>
    <t xml:space="preserve">Наталья, стр. 137</t>
  </si>
  <si>
    <t xml:space="preserve">Бежан Лилиана</t>
  </si>
  <si>
    <t xml:space="preserve">60061870</t>
  </si>
  <si>
    <t xml:space="preserve">Ion, стр. 126</t>
  </si>
  <si>
    <t xml:space="preserve">Ольга Лысенко</t>
  </si>
  <si>
    <t xml:space="preserve">60075142</t>
  </si>
  <si>
    <t xml:space="preserve">4900 lei</t>
  </si>
  <si>
    <t xml:space="preserve">Ion, стр. 127</t>
  </si>
  <si>
    <t xml:space="preserve">Mihai Rusu</t>
  </si>
  <si>
    <t xml:space="preserve">60050483</t>
  </si>
  <si>
    <t xml:space="preserve">Андрей, стр. 123</t>
  </si>
  <si>
    <t xml:space="preserve">Раду У.</t>
  </si>
  <si>
    <t xml:space="preserve">60005732</t>
  </si>
  <si>
    <t xml:space="preserve">20300</t>
  </si>
  <si>
    <t xml:space="preserve">Андрей, стр. 124</t>
  </si>
  <si>
    <t xml:space="preserve">Павел М.</t>
  </si>
  <si>
    <t xml:space="preserve">60034909</t>
  </si>
  <si>
    <t xml:space="preserve">Наталья, стр. 138</t>
  </si>
  <si>
    <t xml:space="preserve">Гросу Раду</t>
  </si>
  <si>
    <t xml:space="preserve">60050578</t>
  </si>
  <si>
    <t xml:space="preserve">Наталья, стр. 139</t>
  </si>
  <si>
    <t xml:space="preserve">Кузнецов Юрий</t>
  </si>
  <si>
    <t xml:space="preserve">60019054</t>
  </si>
  <si>
    <t xml:space="preserve">клиент также записан у Андрей (стр. 128, статус «передал Наталье»)</t>
  </si>
  <si>
    <t xml:space="preserve">просто узнать цену, 4-камерный профиль</t>
  </si>
  <si>
    <t xml:space="preserve">Наталья, стр. 140</t>
  </si>
  <si>
    <t xml:space="preserve">Романов Геннадий</t>
  </si>
  <si>
    <t xml:space="preserve">60063375</t>
  </si>
  <si>
    <t xml:space="preserve">51200</t>
  </si>
  <si>
    <t xml:space="preserve">клиент также записан у Ион (стр. 129, статус «dublu?»)</t>
  </si>
  <si>
    <t xml:space="preserve">Андрей, стр. 125</t>
  </si>
  <si>
    <t xml:space="preserve">Елена Цуркану</t>
  </si>
  <si>
    <t xml:space="preserve">60074637</t>
  </si>
  <si>
    <t xml:space="preserve">30300 + монтаж 2500</t>
  </si>
  <si>
    <t xml:space="preserve">включён монтаж (30300 + монтаж 2500)</t>
  </si>
  <si>
    <t xml:space="preserve">Наталья, стр. 141</t>
  </si>
  <si>
    <t xml:space="preserve">Морару Елена</t>
  </si>
  <si>
    <t xml:space="preserve">60019830</t>
  </si>
  <si>
    <t xml:space="preserve">10800</t>
  </si>
  <si>
    <t xml:space="preserve">Андрей, стр. 126</t>
  </si>
  <si>
    <t xml:space="preserve">Галина</t>
  </si>
  <si>
    <t xml:space="preserve">60023194</t>
  </si>
  <si>
    <t xml:space="preserve">Андрей, стр. 127</t>
  </si>
  <si>
    <t xml:space="preserve">Юрий С.</t>
  </si>
  <si>
    <t xml:space="preserve">60011487</t>
  </si>
  <si>
    <t xml:space="preserve">22800</t>
  </si>
  <si>
    <t xml:space="preserve">статус «+» трактован как оплата (зелёная строка, есть дата/отметка оплаты); клиент также записан у Андрей (стр. 130, статус «+»)</t>
  </si>
  <si>
    <t xml:space="preserve">Андрей, стр. 130</t>
  </si>
  <si>
    <t xml:space="preserve">Точная копия строки 127 на листе Андрей</t>
  </si>
  <si>
    <t xml:space="preserve">Наталья, стр. 142</t>
  </si>
  <si>
    <t xml:space="preserve">Бондаренко Дмитрий</t>
  </si>
  <si>
    <t xml:space="preserve">60017204</t>
  </si>
  <si>
    <t xml:space="preserve">11 900 лей</t>
  </si>
  <si>
    <t xml:space="preserve">Наталья, стр. 143</t>
  </si>
  <si>
    <t xml:space="preserve">Фёдорова Оксана</t>
  </si>
  <si>
    <t xml:space="preserve">60099010</t>
  </si>
  <si>
    <t xml:space="preserve">38 200 лей</t>
  </si>
  <si>
    <t xml:space="preserve">Наталья, стр. 144</t>
  </si>
  <si>
    <t xml:space="preserve">Иванова Ольга</t>
  </si>
  <si>
    <t xml:space="preserve">60060638</t>
  </si>
  <si>
    <t xml:space="preserve">138400</t>
  </si>
  <si>
    <t xml:space="preserve">Ion, стр. 129</t>
  </si>
  <si>
    <t xml:space="preserve">Геннадий Романов</t>
  </si>
  <si>
    <t xml:space="preserve">Тот же клиент (тел. 60063375), что у Наталья, стр. 140 — в воронке учтена та запись</t>
  </si>
  <si>
    <t xml:space="preserve">Андрей, стр. 128</t>
  </si>
  <si>
    <t xml:space="preserve">Юрий Кузнецов</t>
  </si>
  <si>
    <t xml:space="preserve">Тот же клиент (тел. 60019054), что у Наталья, стр. 139 — в воронке учтена та запись</t>
  </si>
  <si>
    <t xml:space="preserve">Наталья, стр. 145</t>
  </si>
  <si>
    <t xml:space="preserve">Козлова Людмила</t>
  </si>
  <si>
    <t xml:space="preserve">60064856</t>
  </si>
  <si>
    <t xml:space="preserve">Наталья, стр. 146</t>
  </si>
  <si>
    <t xml:space="preserve">Иванова Галина</t>
  </si>
  <si>
    <t xml:space="preserve">60048415</t>
  </si>
  <si>
    <t xml:space="preserve">29 800 лей</t>
  </si>
  <si>
    <t xml:space="preserve">Ion, стр. 128</t>
  </si>
  <si>
    <t xml:space="preserve">Tatiana Stratan</t>
  </si>
  <si>
    <t xml:space="preserve">60056459</t>
  </si>
  <si>
    <t xml:space="preserve">Ion, стр. 130</t>
  </si>
  <si>
    <t xml:space="preserve">Doina Cazacu</t>
  </si>
  <si>
    <t xml:space="preserve">60035251</t>
  </si>
  <si>
    <t xml:space="preserve">Андрей, стр. 129</t>
  </si>
  <si>
    <t xml:space="preserve">Виталий</t>
  </si>
  <si>
    <t xml:space="preserve">60029844</t>
  </si>
  <si>
    <t xml:space="preserve">Андрей, стр. 131</t>
  </si>
  <si>
    <t xml:space="preserve">60085196</t>
  </si>
  <si>
    <t xml:space="preserve">61900 + монтаж 1500</t>
  </si>
  <si>
    <t xml:space="preserve">включён монтаж (61900 + монтаж 1500); клиент также записан у Наталья (стр. 149, статус «Не дозвонилась»)</t>
  </si>
  <si>
    <t xml:space="preserve">Андрей, стр. 132</t>
  </si>
  <si>
    <t xml:space="preserve">Ольга В.</t>
  </si>
  <si>
    <t xml:space="preserve">60011047</t>
  </si>
  <si>
    <t xml:space="preserve">дата «вчера» (вчера); дата «вчера» — поставлена дата предыдущей строки (14.08), точная неизвестна</t>
  </si>
  <si>
    <t xml:space="preserve">Наталья, стр. 147</t>
  </si>
  <si>
    <t xml:space="preserve">Гуцу Александру</t>
  </si>
  <si>
    <t xml:space="preserve">60071760</t>
  </si>
  <si>
    <t xml:space="preserve">Наталья, стр. 148</t>
  </si>
  <si>
    <t xml:space="preserve">Никитин Павел</t>
  </si>
  <si>
    <t xml:space="preserve">60096791</t>
  </si>
  <si>
    <t xml:space="preserve">Наталья, стр. 149</t>
  </si>
  <si>
    <t xml:space="preserve">Иванов Сергей</t>
  </si>
  <si>
    <t xml:space="preserve">Тот же клиент (тел. 60085196), что у Андрей, стр. 131 — в воронке учтена та запись</t>
  </si>
  <si>
    <t xml:space="preserve">Ion, стр. 131</t>
  </si>
  <si>
    <t xml:space="preserve">Ana Grosu</t>
  </si>
  <si>
    <t xml:space="preserve">60024720</t>
  </si>
  <si>
    <t xml:space="preserve">Ion, стр. 132</t>
  </si>
  <si>
    <t xml:space="preserve">Геннадий Кузнецов</t>
  </si>
  <si>
    <t xml:space="preserve">60044198</t>
  </si>
  <si>
    <t xml:space="preserve">28.400 lei</t>
  </si>
  <si>
    <t xml:space="preserve">Ion, стр. 133</t>
  </si>
  <si>
    <t xml:space="preserve">Irina Belova</t>
  </si>
  <si>
    <t xml:space="preserve">60008360</t>
  </si>
  <si>
    <t xml:space="preserve">23 000</t>
  </si>
  <si>
    <t xml:space="preserve">Наталья, стр. 150</t>
  </si>
  <si>
    <t xml:space="preserve">Урсу Мария</t>
  </si>
  <si>
    <t xml:space="preserve">60066169</t>
  </si>
  <si>
    <t xml:space="preserve">Наталья, стр. 151</t>
  </si>
  <si>
    <t xml:space="preserve">Ротару Виктор</t>
  </si>
  <si>
    <t xml:space="preserve">60093538</t>
  </si>
  <si>
    <t xml:space="preserve">67000</t>
  </si>
  <si>
    <t xml:space="preserve">Ion, стр. 134</t>
  </si>
  <si>
    <t xml:space="preserve">Aurelia Munteanu</t>
  </si>
  <si>
    <t xml:space="preserve">60098319</t>
  </si>
  <si>
    <t xml:space="preserve">Андрей, стр. 133</t>
  </si>
  <si>
    <t xml:space="preserve">Михай Чеботарь</t>
  </si>
  <si>
    <t xml:space="preserve">60024732</t>
  </si>
  <si>
    <t xml:space="preserve">8.700</t>
  </si>
  <si>
    <t xml:space="preserve">Андрей, стр. 134</t>
  </si>
  <si>
    <t xml:space="preserve">Дойна Лупу</t>
  </si>
  <si>
    <t xml:space="preserve">60075810</t>
  </si>
  <si>
    <t xml:space="preserve">Наталья, стр. 152</t>
  </si>
  <si>
    <t xml:space="preserve">Соколов Виталий</t>
  </si>
  <si>
    <t xml:space="preserve">60051134</t>
  </si>
  <si>
    <t xml:space="preserve">20800</t>
  </si>
  <si>
    <t xml:space="preserve">Наталья, стр. 153</t>
  </si>
  <si>
    <t xml:space="preserve">Ботнарь Николае</t>
  </si>
  <si>
    <t xml:space="preserve">60083584</t>
  </si>
  <si>
    <t xml:space="preserve">клиент также записан у Наталья (стр. 154, статус «Отказ»)</t>
  </si>
  <si>
    <t xml:space="preserve">Наталья, стр. 154</t>
  </si>
  <si>
    <t xml:space="preserve">Точная копия строки 153 на листе Наталья</t>
  </si>
  <si>
    <t xml:space="preserve">Наталья, стр. 155</t>
  </si>
  <si>
    <t xml:space="preserve">Мунтяну Серджиу</t>
  </si>
  <si>
    <t xml:space="preserve">60016712</t>
  </si>
  <si>
    <t xml:space="preserve">Наталья, стр. 157</t>
  </si>
  <si>
    <t xml:space="preserve">Ротару Михай</t>
  </si>
  <si>
    <t xml:space="preserve">60085990</t>
  </si>
  <si>
    <t xml:space="preserve">Ion, стр. 135</t>
  </si>
  <si>
    <t xml:space="preserve">Maria Tabacaru</t>
  </si>
  <si>
    <t xml:space="preserve">60024331</t>
  </si>
  <si>
    <t xml:space="preserve">Ion, стр. 136</t>
  </si>
  <si>
    <t xml:space="preserve">Sergiu Bejan</t>
  </si>
  <si>
    <t xml:space="preserve">60025617</t>
  </si>
  <si>
    <t xml:space="preserve">Андрей, стр. 135</t>
  </si>
  <si>
    <t xml:space="preserve">60044483</t>
  </si>
  <si>
    <t xml:space="preserve">уточнить</t>
  </si>
  <si>
    <t xml:space="preserve">сумма «уточнить»</t>
  </si>
  <si>
    <t xml:space="preserve">Наталья, стр. 156</t>
  </si>
  <si>
    <t xml:space="preserve">Казаку Василе</t>
  </si>
  <si>
    <t xml:space="preserve">60041389</t>
  </si>
  <si>
    <t xml:space="preserve">35900</t>
  </si>
  <si>
    <t xml:space="preserve">отложили до весны, белые</t>
  </si>
  <si>
    <t xml:space="preserve">Наталья, стр. 158</t>
  </si>
  <si>
    <t xml:space="preserve">Бежан Татьяна</t>
  </si>
  <si>
    <t xml:space="preserve">60065772</t>
  </si>
  <si>
    <t xml:space="preserve">Ion, стр. 137</t>
  </si>
  <si>
    <t xml:space="preserve">Ana Lupu</t>
  </si>
  <si>
    <t xml:space="preserve">60082321</t>
  </si>
  <si>
    <t xml:space="preserve">18.900 lei</t>
  </si>
  <si>
    <t xml:space="preserve">договор</t>
  </si>
  <si>
    <t xml:space="preserve">Андрей, стр. 136</t>
  </si>
  <si>
    <t xml:space="preserve">Раду Лупу</t>
  </si>
  <si>
    <t xml:space="preserve">60045483</t>
  </si>
  <si>
    <t xml:space="preserve">1500</t>
  </si>
  <si>
    <t xml:space="preserve">Андрей, стр. 137</t>
  </si>
  <si>
    <t xml:space="preserve">60016243</t>
  </si>
  <si>
    <t xml:space="preserve">не наш регион, звонить после 18</t>
  </si>
  <si>
    <t xml:space="preserve">Андрей, стр. 138</t>
  </si>
  <si>
    <t xml:space="preserve">Ана Г.</t>
  </si>
  <si>
    <t xml:space="preserve">60058741</t>
  </si>
  <si>
    <t xml:space="preserve">Андрей, стр. 139</t>
  </si>
  <si>
    <t xml:space="preserve">60037719</t>
  </si>
  <si>
    <t xml:space="preserve">49300</t>
  </si>
  <si>
    <t xml:space="preserve">Андрей, стр. 140</t>
  </si>
  <si>
    <t xml:space="preserve">Геннадий Ф. (Буюканы)</t>
  </si>
  <si>
    <t xml:space="preserve">Наталья, стр. 159</t>
  </si>
  <si>
    <t xml:space="preserve">Русу Дойна</t>
  </si>
  <si>
    <t xml:space="preserve">60071683</t>
  </si>
  <si>
    <t xml:space="preserve">Наталья, стр. 160</t>
  </si>
  <si>
    <t xml:space="preserve">Гуцу Мария</t>
  </si>
  <si>
    <t xml:space="preserve">60040718</t>
  </si>
  <si>
    <t xml:space="preserve">17300</t>
  </si>
  <si>
    <t xml:space="preserve">Наталья, стр. 161</t>
  </si>
  <si>
    <t xml:space="preserve">Урсу Виктор</t>
  </si>
  <si>
    <t xml:space="preserve">60066811</t>
  </si>
  <si>
    <t xml:space="preserve">29100</t>
  </si>
  <si>
    <t xml:space="preserve">Ion, стр. 138</t>
  </si>
  <si>
    <t xml:space="preserve">Vitalie Ivanov</t>
  </si>
  <si>
    <t xml:space="preserve">60029326</t>
  </si>
  <si>
    <t xml:space="preserve">36400,00</t>
  </si>
  <si>
    <t xml:space="preserve">Андрей, стр. 141</t>
  </si>
  <si>
    <t xml:space="preserve">60006693</t>
  </si>
  <si>
    <t xml:space="preserve">не наш регион, повторный клиент</t>
  </si>
  <si>
    <t xml:space="preserve">Андрей, стр. 142</t>
  </si>
  <si>
    <t xml:space="preserve">Валериу Морару</t>
  </si>
  <si>
    <t xml:space="preserve">60095205</t>
  </si>
  <si>
    <t xml:space="preserve">Андрей, стр. 143</t>
  </si>
  <si>
    <t xml:space="preserve">60034253</t>
  </si>
  <si>
    <t xml:space="preserve">Андрей, стр. 144</t>
  </si>
  <si>
    <t xml:space="preserve">Оксана Кузнецова</t>
  </si>
  <si>
    <t xml:space="preserve">60021708</t>
  </si>
  <si>
    <t xml:space="preserve">50.500</t>
  </si>
  <si>
    <t xml:space="preserve">дата «вчера» (вчера); дата «вчера» — поставлена дата предыдущей строки (21.08), точная неизвестна</t>
  </si>
  <si>
    <t xml:space="preserve">Наталья, стр. 162</t>
  </si>
  <si>
    <t xml:space="preserve">Лунгу Серджиу</t>
  </si>
  <si>
    <t xml:space="preserve">60025691</t>
  </si>
  <si>
    <t xml:space="preserve">Наталья, стр. 163</t>
  </si>
  <si>
    <t xml:space="preserve">Савченко Виталий</t>
  </si>
  <si>
    <t xml:space="preserve">60050076</t>
  </si>
  <si>
    <t xml:space="preserve">38800</t>
  </si>
  <si>
    <t xml:space="preserve">Ion, стр. 139</t>
  </si>
  <si>
    <t xml:space="preserve">Сергей Морозов</t>
  </si>
  <si>
    <t xml:space="preserve">60015321</t>
  </si>
  <si>
    <t xml:space="preserve">Андрей, стр. 145</t>
  </si>
  <si>
    <t xml:space="preserve">60055650</t>
  </si>
  <si>
    <t xml:space="preserve">Ion, стр. 140</t>
  </si>
  <si>
    <t xml:space="preserve">Stejarel Grup S.R.L.</t>
  </si>
  <si>
    <t xml:space="preserve">22023501</t>
  </si>
  <si>
    <t xml:space="preserve">magazin - vitrine</t>
  </si>
  <si>
    <t xml:space="preserve">Что было не так в исходном файле и как это исправлено</t>
  </si>
  <si>
    <t xml:space="preserve">Три листа в разном формате</t>
  </si>
  <si>
    <t xml:space="preserve">У Иона другой порядок колонок и румынские названия, у Андрея имя и телефон в одной ячейке, заголовок и разбивка по месяцам внутри листа. Всё сведено в единый формат на листе «Сводная».</t>
  </si>
  <si>
    <t xml:space="preserve">Даты в 10+ форматах</t>
  </si>
  <si>
    <t xml:space="preserve">ДД.ММ.ГГГГ, М/Д/ГГ (у Иона американский формат), «4 июн», «1.6», ГГГГ-ММ-ДД, числа Excel. Все приведены к датам.</t>
  </si>
  <si>
    <t xml:space="preserve">«вчера» вместо даты</t>
  </si>
  <si>
    <t xml:space="preserve">Две строки у Андрея. Поставлена дата предыдущей строки — точная дата неизвестна (отмечено в «Замечаниях»).</t>
  </si>
  <si>
    <t xml:space="preserve">Суммы текстом</t>
  </si>
  <si>
    <t xml:space="preserve">«32 400 лей», «39.400 lei», «27100,00», «~19к», «22900 + монтаж 2500». Приблизительные взяты как есть, монтаж включён в сумму. Одна сумма «уточнить» — пустая.</t>
  </si>
  <si>
    <t xml:space="preserve">Суммы в евро</t>
  </si>
  <si>
    <t xml:space="preserve">6 сделок в EUR — пересчитаны по курсу на листе «Параметры».</t>
  </si>
  <si>
    <t xml:space="preserve">Статусы на трёх языках</t>
  </si>
  <si>
    <t xml:space="preserve">30 разных написаний сведены к 7 статусам (см. «Параметры»). «да»/«+» у Андрея — это оплата.</t>
  </si>
  <si>
    <t xml:space="preserve">Точные дубли строк: 8</t>
  </si>
  <si>
    <t xml:space="preserve">Одна и та же строка вписана дважды (у всех трёх менеджеров). Исключены из воронки.</t>
  </si>
  <si>
    <t xml:space="preserve">Один клиент у двух менеджеров: 12</t>
  </si>
  <si>
    <t xml:space="preserve">Передачи («передала Андрею») и повторные обращения («дубль?», «dublu?»). Сопоставлены по телефону; в воронке учтена самая продвинутая запись.</t>
  </si>
  <si>
    <t xml:space="preserve">Ошибка в «Своде Марина»</t>
  </si>
  <si>
    <t xml:space="preserve">Андрей, июнь: в своде 51 700, по данным 57 100 (3 оплаты: 21 500 + 11 000 + 24 600) — похоже на перестановку цифр. Наталья и Ион сходятся.</t>
  </si>
  <si>
    <t xml:space="preserve">«Итого» у Андрея не сходятся</t>
  </si>
  <si>
    <t xml:space="preserve">Итого июнь 655 037 (евро пересчитано по другому курсу), итого август 501 700 при 474 000 по строкам — видимо, с учётом дубля. Эти итоги — сумма всех КП, а не оплат.</t>
  </si>
  <si>
    <t xml:space="preserve">Клиенты без телефона</t>
  </si>
  <si>
    <t xml:space="preserve">У Андрея часть клиентов записана без номера («Ана (Чеканы)») — их нельзя проверить на дубли.</t>
  </si>
  <si>
    <t xml:space="preserve">Исключённые строки</t>
  </si>
  <si>
    <t xml:space="preserve">Строка</t>
  </si>
  <si>
    <t xml:space="preserve">Причина</t>
  </si>
  <si>
    <t xml:space="preserve">Параметры расчёта</t>
  </si>
  <si>
    <t xml:space="preserve">Курс EUR → MDL</t>
  </si>
  <si>
    <t xml:space="preserve">Официальный курс НБМ на 06.07.2026 (cursvalutarazi.md / bnm.md). Можно поменять — суммы в евро пересчитаются.</t>
  </si>
  <si>
    <t xml:space="preserve">Как читать статусы (приведены к единому виду)</t>
  </si>
  <si>
    <t xml:space="preserve">Оплачено, achitat, achitat ✓, оплатили, опл; у Андрея также «да» и «+» (зелёные строки с датой/отметкой оплаты)</t>
  </si>
  <si>
    <t xml:space="preserve">Договор подписан, оплаты ещё нет</t>
  </si>
  <si>
    <t xml:space="preserve">Думает, думают, se gândește, перезвонить</t>
  </si>
  <si>
    <t xml:space="preserve">Отказ, refuz, нет</t>
  </si>
  <si>
    <t xml:space="preserve">Только у Андрея: клиент перестал выходить на связь. Считается как состоявшийся контакт</t>
  </si>
  <si>
    <t xml:space="preserve">Не дозвонилась, nu răspunde, не дозвон</t>
  </si>
  <si>
    <t xml:space="preserve">Передан / Дубль?</t>
  </si>
  <si>
    <t xml:space="preserve">Передан другому менеджеру или помечен как дубль — такие строки исключены из воронки, клиент учтён один раз</t>
  </si>
  <si>
    <t xml:space="preserve">Этапы воронки</t>
  </si>
  <si>
    <t xml:space="preserve">Лид</t>
  </si>
  <si>
    <t xml:space="preserve">Уникальный клиент (дубли по телефону схлопнуты)</t>
  </si>
  <si>
    <t xml:space="preserve">Дозвонились: статус не «Не дозвонились»</t>
  </si>
  <si>
    <t xml:space="preserve">Есть дата замера или отметка «да»</t>
  </si>
  <si>
    <t xml:space="preserve">Отправлено коммерческое предложение (есть дата КП)</t>
  </si>
  <si>
    <t xml:space="preserve">Статус «Оплачено»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</si>
</sst>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#,##0"/>
    <numFmt numFmtId="168" formatCode="dd\.mm\.yyyy"/>
    <numFmt numFmtId="169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4858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delki" displayName="Sdelki" ref="A1:AB436" headerRowCount="1" totalsRowCount="0" totalsRowShown="0">
  <autoFilter ref="A1:AB436"/>
  <tableColumns count="28">
    <tableColumn id="1" name="№"/>
    <tableColumn id="2" name="Менеджер"/>
    <tableColumn id="3" name="Исходный лист, строка"/>
    <tableColumn id="4" name="Дата лида"/>
    <tableColumn id="5" name="Месяц"/>
    <tableColumn id="6" name="Клиент"/>
    <tableColumn id="7" name="Телефон (норм.)"/>
    <tableColumn id="8" name="Город"/>
    <tableColumn id="9" name="Источник"/>
    <tableColumn id="10" name="Источник (как записано)"/>
    <tableColumn id="11" name="Что"/>
    <tableColumn id="12" name="Дата замера"/>
    <tableColumn id="13" name="Замер"/>
    <tableColumn id="14" name="Дата КП"/>
    <tableColumn id="15" name="КП"/>
    <tableColumn id="16" name="Сумма (как записано)"/>
    <tableColumn id="17" name="Сумма, число"/>
    <tableColumn id="18" name="Валюта"/>
    <tableColumn id="19" name="Сумма, MDL"/>
    <tableColumn id="20" name="Статус"/>
    <tableColumn id="21" name="Статус (как записано)"/>
    <tableColumn id="22" name="Дата оплаты"/>
    <tableColumn id="23" name="Оплата"/>
    <tableColumn id="24" name="Контакт"/>
    <tableColumn id="25" name="В воронке"/>
    <tableColumn id="26" name="Почему исключено"/>
    <tableColumn id="27" name="Замечания к данным"/>
    <tableColumn id="28" name="Комментарий менеджера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3" t="s">
        <v>8</v>
      </c>
      <c r="B6" s="5" t="n">
        <f aca="false">COUNTIFS(Сводная!$Y$2:$Y$436,1)</f>
        <v>415</v>
      </c>
      <c r="C6" s="6"/>
      <c r="D6" s="7" t="n">
        <v>1</v>
      </c>
      <c r="E6" s="6"/>
    </row>
    <row r="7" customFormat="false" ht="15" hidden="false" customHeight="false" outlineLevel="0" collapsed="false">
      <c r="A7" s="3" t="s">
        <v>9</v>
      </c>
      <c r="B7" s="5" t="n">
        <f aca="false">COUNTIFS(Сводная!$Y$2:$Y$436,1,Сводная!$X$2:$X$436,1)</f>
        <v>349</v>
      </c>
      <c r="C7" s="7" t="n">
        <f aca="false">IFERROR(B7/B6,0)</f>
        <v>0.840963855421687</v>
      </c>
      <c r="D7" s="7" t="n">
        <f aca="false">IFERROR(B7/$B$6,0)</f>
        <v>0.840963855421687</v>
      </c>
      <c r="E7" s="6" t="n">
        <f aca="false">B6-B7</f>
        <v>66</v>
      </c>
    </row>
    <row r="8" customFormat="false" ht="15" hidden="false" customHeight="false" outlineLevel="0" collapsed="false">
      <c r="A8" s="3" t="s">
        <v>10</v>
      </c>
      <c r="B8" s="5" t="n">
        <f aca="false">COUNTIFS(Сводная!$Y$2:$Y$436,1,Сводная!$M$2:$M$436,1)</f>
        <v>214</v>
      </c>
      <c r="C8" s="7" t="n">
        <f aca="false">IFERROR(B8/B7,0)</f>
        <v>0.613180515759312</v>
      </c>
      <c r="D8" s="7" t="n">
        <f aca="false">IFERROR(B8/$B$6,0)</f>
        <v>0.51566265060241</v>
      </c>
      <c r="E8" s="6" t="n">
        <f aca="false">B7-B8</f>
        <v>135</v>
      </c>
    </row>
    <row r="9" customFormat="false" ht="15" hidden="false" customHeight="false" outlineLevel="0" collapsed="false">
      <c r="A9" s="3" t="s">
        <v>11</v>
      </c>
      <c r="B9" s="5" t="n">
        <f aca="false">COUNTIFS(Сводная!$Y$2:$Y$436,1,Сводная!$O$2:$O$436,1)</f>
        <v>190</v>
      </c>
      <c r="C9" s="7" t="n">
        <f aca="false">IFERROR(B9/B8,0)</f>
        <v>0.88785046728972</v>
      </c>
      <c r="D9" s="7" t="n">
        <f aca="false">IFERROR(B9/$B$6,0)</f>
        <v>0.457831325301205</v>
      </c>
      <c r="E9" s="6" t="n">
        <f aca="false">B8-B9</f>
        <v>24</v>
      </c>
    </row>
    <row r="10" customFormat="false" ht="15" hidden="false" customHeight="false" outlineLevel="0" collapsed="false">
      <c r="A10" s="3" t="s">
        <v>12</v>
      </c>
      <c r="B10" s="5" t="n">
        <f aca="false">COUNTIFS(Сводная!$Y$2:$Y$436,1,Сводная!$W$2:$W$436,1)</f>
        <v>77</v>
      </c>
      <c r="C10" s="7" t="n">
        <f aca="false">IFERROR(B10/B9,0)</f>
        <v>0.405263157894737</v>
      </c>
      <c r="D10" s="7" t="n">
        <f aca="false">IFERROR(B10/$B$6,0)</f>
        <v>0.185542168674699</v>
      </c>
      <c r="E10" s="6" t="n">
        <f aca="false">B9-B10</f>
        <v>113</v>
      </c>
    </row>
    <row r="12" customFormat="false" ht="15" hidden="false" customHeight="false" outlineLevel="0" collapsed="false">
      <c r="A12" s="3" t="s">
        <v>13</v>
      </c>
    </row>
    <row r="13" customFormat="false" ht="15" hidden="false" customHeight="false" outlineLevel="0" collapsed="false">
      <c r="A13" s="6" t="s">
        <v>14</v>
      </c>
      <c r="B13" s="8" t="n">
        <f aca="false">SUMIFS(Сводная!$S$2:$S$436,Сводная!$Y$2:$Y$436,1,Сводная!$O$2:$O$436,1)</f>
        <v>6081438</v>
      </c>
    </row>
    <row r="14" customFormat="false" ht="15" hidden="false" customHeight="false" outlineLevel="0" collapsed="false">
      <c r="A14" s="6" t="s">
        <v>15</v>
      </c>
      <c r="B14" s="8" t="n">
        <f aca="false">SUMIFS(Сводная!$S$2:$S$436,Сводная!$Y$2:$Y$436,1,Сводная!$W$2:$W$436,1)</f>
        <v>2615100</v>
      </c>
    </row>
    <row r="15" customFormat="false" ht="15" hidden="false" customHeight="false" outlineLevel="0" collapsed="false">
      <c r="A15" s="6" t="s">
        <v>16</v>
      </c>
      <c r="B15" s="8" t="n">
        <f aca="false">IFERROR(B14/B10,0)</f>
        <v>33962.3376623377</v>
      </c>
    </row>
    <row r="16" customFormat="false" ht="15" hidden="false" customHeight="false" outlineLevel="0" collapsed="false">
      <c r="A16" s="6" t="s">
        <v>17</v>
      </c>
      <c r="B16" s="8" t="n">
        <f aca="false">SUMIFS(Сводная!$S$2:$S$436,Сводная!$Y$2:$Y$436,1,Сводная!$O$2:$O$436,1,Сводная!$T$2:$T$436,"Думает")+SUMIFS(Сводная!$S$2:$S$436,Сводная!$Y$2:$Y$436,1,Сводная!$O$2:$O$436,1,Сводная!$T$2:$T$436,"Договор")</f>
        <v>1174008</v>
      </c>
    </row>
    <row r="17" customFormat="false" ht="15" hidden="false" customHeight="false" outlineLevel="0" collapsed="false">
      <c r="A17" s="6" t="s">
        <v>18</v>
      </c>
      <c r="B17" s="8" t="n">
        <f aca="false">COUNTIFS(Сводная!$Y$2:$Y$436,1,Сводная!$O$2:$O$436,1,Сводная!$T$2:$T$436,"Думает")+COUNTIFS(Сводная!$Y$2:$Y$436,1,Сводная!$O$2:$O$436,1,Сводная!$T$2:$T$436,"Договор")</f>
        <v>40</v>
      </c>
    </row>
    <row r="18" customFormat="false" ht="15" hidden="false" customHeight="false" outlineLevel="0" collapsed="false">
      <c r="A18" s="6" t="s">
        <v>19</v>
      </c>
      <c r="B18" s="7" t="n">
        <f aca="false">IFERROR(B14/B13,0)</f>
        <v>0.430013427745214</v>
      </c>
    </row>
    <row r="21" customFormat="false" ht="15" hidden="false" customHeight="false" outlineLevel="0" collapsed="false">
      <c r="A21" s="3" t="s">
        <v>20</v>
      </c>
    </row>
    <row r="22" customFormat="false" ht="23.85" hidden="false" customHeight="false" outlineLevel="0" collapsed="false">
      <c r="A22" s="4"/>
      <c r="B22" s="4" t="s">
        <v>8</v>
      </c>
      <c r="C22" s="4" t="s">
        <v>9</v>
      </c>
      <c r="D22" s="4" t="s">
        <v>10</v>
      </c>
      <c r="E22" s="4" t="s">
        <v>11</v>
      </c>
      <c r="F22" s="4" t="s">
        <v>12</v>
      </c>
      <c r="G22" s="4" t="s">
        <v>21</v>
      </c>
      <c r="H22" s="4" t="s">
        <v>22</v>
      </c>
      <c r="I22" s="4" t="s">
        <v>23</v>
      </c>
      <c r="J22" s="4" t="s">
        <v>24</v>
      </c>
      <c r="K22" s="4" t="s">
        <v>25</v>
      </c>
      <c r="L22" s="4" t="s">
        <v>26</v>
      </c>
      <c r="M22" s="4" t="s">
        <v>27</v>
      </c>
    </row>
    <row r="23" customFormat="false" ht="15" hidden="false" customHeight="false" outlineLevel="0" collapsed="false">
      <c r="A23" s="3" t="s">
        <v>28</v>
      </c>
      <c r="B23" s="6" t="n">
        <f aca="false">COUNTIFS(Сводная!$Y$2:$Y$436,1,Сводная!$B$2:$B$436,"Наталья")</f>
        <v>155</v>
      </c>
      <c r="C23" s="6" t="n">
        <f aca="false">COUNTIFS(Сводная!$Y$2:$Y$436,1,Сводная!$X$2:$X$436,1,Сводная!$B$2:$B$436,"Наталья")</f>
        <v>127</v>
      </c>
      <c r="D23" s="6" t="n">
        <f aca="false">COUNTIFS(Сводная!$Y$2:$Y$436,1,Сводная!$M$2:$M$436,1,Сводная!$B$2:$B$436,"Наталья")</f>
        <v>84</v>
      </c>
      <c r="E23" s="6" t="n">
        <f aca="false">COUNTIFS(Сводная!$Y$2:$Y$436,1,Сводная!$O$2:$O$436,1,Сводная!$B$2:$B$436,"Наталья")</f>
        <v>75</v>
      </c>
      <c r="F23" s="6" t="n">
        <f aca="false">COUNTIFS(Сводная!$Y$2:$Y$436,1,Сводная!$W$2:$W$436,1,Сводная!$B$2:$B$436,"Наталья")</f>
        <v>36</v>
      </c>
      <c r="G23" s="7" t="n">
        <f aca="false">IFERROR(C23/B23,0)</f>
        <v>0.819354838709677</v>
      </c>
      <c r="H23" s="7" t="n">
        <f aca="false">IFERROR(D23/C23,0)</f>
        <v>0.661417322834646</v>
      </c>
      <c r="I23" s="7" t="n">
        <f aca="false">IFERROR(E23/D23,0)</f>
        <v>0.892857142857143</v>
      </c>
      <c r="J23" s="7" t="n">
        <f aca="false">IFERROR(F23/E23,0)</f>
        <v>0.48</v>
      </c>
      <c r="K23" s="7" t="n">
        <f aca="false">IFERROR(F23/B23,0)</f>
        <v>0.232258064516129</v>
      </c>
      <c r="L23" s="8" t="n">
        <f aca="false">SUMIFS(Сводная!$S$2:$S$436,Сводная!$Y$2:$Y$436,1,Сводная!$W$2:$W$436,1,Сводная!$B$2:$B$436,"Наталья")</f>
        <v>1414800</v>
      </c>
      <c r="M23" s="8" t="n">
        <f aca="false">IFERROR(L23/F23,0)</f>
        <v>39300</v>
      </c>
    </row>
    <row r="24" customFormat="false" ht="15" hidden="false" customHeight="false" outlineLevel="0" collapsed="false">
      <c r="A24" s="3" t="s">
        <v>29</v>
      </c>
      <c r="B24" s="6" t="n">
        <f aca="false">COUNTIFS(Сводная!$Y$2:$Y$436,1,Сводная!$B$2:$B$436,"Ион")</f>
        <v>132</v>
      </c>
      <c r="C24" s="6" t="n">
        <f aca="false">COUNTIFS(Сводная!$Y$2:$Y$436,1,Сводная!$X$2:$X$436,1,Сводная!$B$2:$B$436,"Ион")</f>
        <v>102</v>
      </c>
      <c r="D24" s="6" t="n">
        <f aca="false">COUNTIFS(Сводная!$Y$2:$Y$436,1,Сводная!$M$2:$M$436,1,Сводная!$B$2:$B$436,"Ион")</f>
        <v>64</v>
      </c>
      <c r="E24" s="6" t="n">
        <f aca="false">COUNTIFS(Сводная!$Y$2:$Y$436,1,Сводная!$O$2:$O$436,1,Сводная!$B$2:$B$436,"Ион")</f>
        <v>55</v>
      </c>
      <c r="F24" s="6" t="n">
        <f aca="false">COUNTIFS(Сводная!$Y$2:$Y$436,1,Сводная!$W$2:$W$436,1,Сводная!$B$2:$B$436,"Ион")</f>
        <v>18</v>
      </c>
      <c r="G24" s="7" t="n">
        <f aca="false">IFERROR(C24/B24,0)</f>
        <v>0.772727272727273</v>
      </c>
      <c r="H24" s="7" t="n">
        <f aca="false">IFERROR(D24/C24,0)</f>
        <v>0.627450980392157</v>
      </c>
      <c r="I24" s="7" t="n">
        <f aca="false">IFERROR(E24/D24,0)</f>
        <v>0.859375</v>
      </c>
      <c r="J24" s="7" t="n">
        <f aca="false">IFERROR(F24/E24,0)</f>
        <v>0.327272727272727</v>
      </c>
      <c r="K24" s="7" t="n">
        <f aca="false">IFERROR(F24/B24,0)</f>
        <v>0.136363636363636</v>
      </c>
      <c r="L24" s="8" t="n">
        <f aca="false">SUMIFS(Сводная!$S$2:$S$436,Сводная!$Y$2:$Y$436,1,Сводная!$W$2:$W$436,1,Сводная!$B$2:$B$436,"Ион")</f>
        <v>561300</v>
      </c>
      <c r="M24" s="8" t="n">
        <f aca="false">IFERROR(L24/F24,0)</f>
        <v>31183.3333333333</v>
      </c>
    </row>
    <row r="25" customFormat="false" ht="15" hidden="false" customHeight="false" outlineLevel="0" collapsed="false">
      <c r="A25" s="3" t="s">
        <v>30</v>
      </c>
      <c r="B25" s="6" t="n">
        <f aca="false">COUNTIFS(Сводная!$Y$2:$Y$436,1,Сводная!$B$2:$B$436,"Андрей")</f>
        <v>128</v>
      </c>
      <c r="C25" s="6" t="n">
        <f aca="false">COUNTIFS(Сводная!$Y$2:$Y$436,1,Сводная!$X$2:$X$436,1,Сводная!$B$2:$B$436,"Андрей")</f>
        <v>120</v>
      </c>
      <c r="D25" s="6" t="n">
        <f aca="false">COUNTIFS(Сводная!$Y$2:$Y$436,1,Сводная!$M$2:$M$436,1,Сводная!$B$2:$B$436,"Андрей")</f>
        <v>66</v>
      </c>
      <c r="E25" s="6" t="n">
        <f aca="false">COUNTIFS(Сводная!$Y$2:$Y$436,1,Сводная!$O$2:$O$436,1,Сводная!$B$2:$B$436,"Андрей")</f>
        <v>60</v>
      </c>
      <c r="F25" s="6" t="n">
        <f aca="false">COUNTIFS(Сводная!$Y$2:$Y$436,1,Сводная!$W$2:$W$436,1,Сводная!$B$2:$B$436,"Андрей")</f>
        <v>23</v>
      </c>
      <c r="G25" s="7" t="n">
        <f aca="false">IFERROR(C25/B25,0)</f>
        <v>0.9375</v>
      </c>
      <c r="H25" s="7" t="n">
        <f aca="false">IFERROR(D25/C25,0)</f>
        <v>0.55</v>
      </c>
      <c r="I25" s="7" t="n">
        <f aca="false">IFERROR(E25/D25,0)</f>
        <v>0.909090909090909</v>
      </c>
      <c r="J25" s="7" t="n">
        <f aca="false">IFERROR(F25/E25,0)</f>
        <v>0.383333333333333</v>
      </c>
      <c r="K25" s="7" t="n">
        <f aca="false">IFERROR(F25/B25,0)</f>
        <v>0.1796875</v>
      </c>
      <c r="L25" s="8" t="n">
        <f aca="false">SUMIFS(Сводная!$S$2:$S$436,Сводная!$Y$2:$Y$436,1,Сводная!$W$2:$W$436,1,Сводная!$B$2:$B$436,"Андрей")</f>
        <v>639000</v>
      </c>
      <c r="M25" s="8" t="n">
        <f aca="false">IFERROR(L25/F25,0)</f>
        <v>27782.6086956522</v>
      </c>
    </row>
    <row r="26" customFormat="false" ht="15" hidden="false" customHeight="false" outlineLevel="0" collapsed="false">
      <c r="A26" s="9" t="s">
        <v>31</v>
      </c>
      <c r="B26" s="9" t="n">
        <f aca="false">SUM(B23:B25)</f>
        <v>415</v>
      </c>
      <c r="C26" s="9" t="n">
        <f aca="false">SUM(C23:C25)</f>
        <v>349</v>
      </c>
      <c r="D26" s="9" t="n">
        <f aca="false">SUM(D23:D25)</f>
        <v>214</v>
      </c>
      <c r="E26" s="9" t="n">
        <f aca="false">SUM(E23:E25)</f>
        <v>190</v>
      </c>
      <c r="F26" s="9" t="n">
        <f aca="false">SUM(F23:F25)</f>
        <v>77</v>
      </c>
      <c r="G26" s="10" t="n">
        <f aca="false">IFERROR(C26/B26,0)</f>
        <v>0.840963855421687</v>
      </c>
      <c r="H26" s="10" t="n">
        <f aca="false">IFERROR(D26/C26,0)</f>
        <v>0.613180515759312</v>
      </c>
      <c r="I26" s="10" t="n">
        <f aca="false">IFERROR(E26/D26,0)</f>
        <v>0.88785046728972</v>
      </c>
      <c r="J26" s="10" t="n">
        <f aca="false">IFERROR(F26/E26,0)</f>
        <v>0.405263157894737</v>
      </c>
      <c r="K26" s="10" t="n">
        <f aca="false">IFERROR(F26/B26,0)</f>
        <v>0.185542168674699</v>
      </c>
      <c r="L26" s="11" t="n">
        <f aca="false">SUM(L23:L25)</f>
        <v>2615100</v>
      </c>
      <c r="M26" s="11" t="n">
        <f aca="false">IFERROR(L26/F26,0)</f>
        <v>33962.3376623377</v>
      </c>
    </row>
    <row r="28" customFormat="false" ht="15" hidden="false" customHeight="false" outlineLevel="0" collapsed="false">
      <c r="A28" s="3" t="s">
        <v>32</v>
      </c>
    </row>
    <row r="29" customFormat="false" ht="23.85" hidden="false" customHeight="false" outlineLevel="0" collapsed="false">
      <c r="A29" s="4"/>
      <c r="B29" s="4" t="s">
        <v>8</v>
      </c>
      <c r="C29" s="4" t="s">
        <v>9</v>
      </c>
      <c r="D29" s="4" t="s">
        <v>10</v>
      </c>
      <c r="E29" s="4" t="s">
        <v>11</v>
      </c>
      <c r="F29" s="4" t="s">
        <v>12</v>
      </c>
      <c r="G29" s="4" t="s">
        <v>21</v>
      </c>
      <c r="H29" s="4" t="s">
        <v>22</v>
      </c>
      <c r="I29" s="4" t="s">
        <v>23</v>
      </c>
      <c r="J29" s="4" t="s">
        <v>24</v>
      </c>
      <c r="K29" s="4" t="s">
        <v>25</v>
      </c>
      <c r="L29" s="4" t="s">
        <v>26</v>
      </c>
      <c r="M29" s="4" t="s">
        <v>27</v>
      </c>
    </row>
    <row r="30" customFormat="false" ht="15" hidden="false" customHeight="false" outlineLevel="0" collapsed="false">
      <c r="A30" s="3" t="n">
        <v>6</v>
      </c>
      <c r="B30" s="6" t="n">
        <f aca="false">COUNTIFS(Сводная!$Y$2:$Y$436,1,Сводная!$E$2:$E$436,6)</f>
        <v>158</v>
      </c>
      <c r="C30" s="6" t="n">
        <f aca="false">COUNTIFS(Сводная!$Y$2:$Y$436,1,Сводная!$X$2:$X$436,1,Сводная!$E$2:$E$436,6)</f>
        <v>130</v>
      </c>
      <c r="D30" s="6" t="n">
        <f aca="false">COUNTIFS(Сводная!$Y$2:$Y$436,1,Сводная!$M$2:$M$436,1,Сводная!$E$2:$E$436,6)</f>
        <v>80</v>
      </c>
      <c r="E30" s="6" t="n">
        <f aca="false">COUNTIFS(Сводная!$Y$2:$Y$436,1,Сводная!$O$2:$O$436,1,Сводная!$E$2:$E$436,6)</f>
        <v>65</v>
      </c>
      <c r="F30" s="6" t="n">
        <f aca="false">COUNTIFS(Сводная!$Y$2:$Y$436,1,Сводная!$W$2:$W$436,1,Сводная!$E$2:$E$436,6)</f>
        <v>27</v>
      </c>
      <c r="G30" s="7" t="n">
        <f aca="false">IFERROR(C30/B30,0)</f>
        <v>0.822784810126582</v>
      </c>
      <c r="H30" s="7" t="n">
        <f aca="false">IFERROR(D30/C30,0)</f>
        <v>0.615384615384615</v>
      </c>
      <c r="I30" s="7" t="n">
        <f aca="false">IFERROR(E30/D30,0)</f>
        <v>0.8125</v>
      </c>
      <c r="J30" s="7" t="n">
        <f aca="false">IFERROR(F30/E30,0)</f>
        <v>0.415384615384615</v>
      </c>
      <c r="K30" s="7" t="n">
        <f aca="false">IFERROR(F30/B30,0)</f>
        <v>0.170886075949367</v>
      </c>
      <c r="L30" s="8" t="n">
        <f aca="false">SUMIFS(Сводная!$S$2:$S$436,Сводная!$Y$2:$Y$436,1,Сводная!$W$2:$W$436,1,Сводная!$E$2:$E$436,6)</f>
        <v>953900</v>
      </c>
      <c r="M30" s="8" t="n">
        <f aca="false">IFERROR(L30/F30,0)</f>
        <v>35329.6296296296</v>
      </c>
    </row>
    <row r="31" customFormat="false" ht="15" hidden="false" customHeight="false" outlineLevel="0" collapsed="false">
      <c r="A31" s="3" t="n">
        <v>7</v>
      </c>
      <c r="B31" s="6" t="n">
        <f aca="false">COUNTIFS(Сводная!$Y$2:$Y$436,1,Сводная!$E$2:$E$436,7)</f>
        <v>160</v>
      </c>
      <c r="C31" s="6" t="n">
        <f aca="false">COUNTIFS(Сводная!$Y$2:$Y$436,1,Сводная!$X$2:$X$436,1,Сводная!$E$2:$E$436,7)</f>
        <v>137</v>
      </c>
      <c r="D31" s="6" t="n">
        <f aca="false">COUNTIFS(Сводная!$Y$2:$Y$436,1,Сводная!$M$2:$M$436,1,Сводная!$E$2:$E$436,7)</f>
        <v>86</v>
      </c>
      <c r="E31" s="6" t="n">
        <f aca="false">COUNTIFS(Сводная!$Y$2:$Y$436,1,Сводная!$O$2:$O$436,1,Сводная!$E$2:$E$436,7)</f>
        <v>81</v>
      </c>
      <c r="F31" s="6" t="n">
        <f aca="false">COUNTIFS(Сводная!$Y$2:$Y$436,1,Сводная!$W$2:$W$436,1,Сводная!$E$2:$E$436,7)</f>
        <v>34</v>
      </c>
      <c r="G31" s="7" t="n">
        <f aca="false">IFERROR(C31/B31,0)</f>
        <v>0.85625</v>
      </c>
      <c r="H31" s="7" t="n">
        <f aca="false">IFERROR(D31/C31,0)</f>
        <v>0.627737226277372</v>
      </c>
      <c r="I31" s="7" t="n">
        <f aca="false">IFERROR(E31/D31,0)</f>
        <v>0.941860465116279</v>
      </c>
      <c r="J31" s="7" t="n">
        <f aca="false">IFERROR(F31/E31,0)</f>
        <v>0.419753086419753</v>
      </c>
      <c r="K31" s="7" t="n">
        <f aca="false">IFERROR(F31/B31,0)</f>
        <v>0.2125</v>
      </c>
      <c r="L31" s="8" t="n">
        <f aca="false">SUMIFS(Сводная!$S$2:$S$436,Сводная!$Y$2:$Y$436,1,Сводная!$W$2:$W$436,1,Сводная!$E$2:$E$436,7)</f>
        <v>1200200</v>
      </c>
      <c r="M31" s="8" t="n">
        <f aca="false">IFERROR(L31/F31,0)</f>
        <v>35300</v>
      </c>
    </row>
    <row r="32" customFormat="false" ht="15" hidden="false" customHeight="false" outlineLevel="0" collapsed="false">
      <c r="A32" s="3" t="n">
        <v>8</v>
      </c>
      <c r="B32" s="6" t="n">
        <f aca="false">COUNTIFS(Сводная!$Y$2:$Y$436,1,Сводная!$E$2:$E$436,8)</f>
        <v>97</v>
      </c>
      <c r="C32" s="6" t="n">
        <f aca="false">COUNTIFS(Сводная!$Y$2:$Y$436,1,Сводная!$X$2:$X$436,1,Сводная!$E$2:$E$436,8)</f>
        <v>82</v>
      </c>
      <c r="D32" s="6" t="n">
        <f aca="false">COUNTIFS(Сводная!$Y$2:$Y$436,1,Сводная!$M$2:$M$436,1,Сводная!$E$2:$E$436,8)</f>
        <v>48</v>
      </c>
      <c r="E32" s="6" t="n">
        <f aca="false">COUNTIFS(Сводная!$Y$2:$Y$436,1,Сводная!$O$2:$O$436,1,Сводная!$E$2:$E$436,8)</f>
        <v>44</v>
      </c>
      <c r="F32" s="6" t="n">
        <f aca="false">COUNTIFS(Сводная!$Y$2:$Y$436,1,Сводная!$W$2:$W$436,1,Сводная!$E$2:$E$436,8)</f>
        <v>16</v>
      </c>
      <c r="G32" s="7" t="n">
        <f aca="false">IFERROR(C32/B32,0)</f>
        <v>0.845360824742268</v>
      </c>
      <c r="H32" s="7" t="n">
        <f aca="false">IFERROR(D32/C32,0)</f>
        <v>0.585365853658537</v>
      </c>
      <c r="I32" s="7" t="n">
        <f aca="false">IFERROR(E32/D32,0)</f>
        <v>0.916666666666667</v>
      </c>
      <c r="J32" s="7" t="n">
        <f aca="false">IFERROR(F32/E32,0)</f>
        <v>0.363636363636364</v>
      </c>
      <c r="K32" s="7" t="n">
        <f aca="false">IFERROR(F32/B32,0)</f>
        <v>0.164948453608247</v>
      </c>
      <c r="L32" s="8" t="n">
        <f aca="false">SUMIFS(Сводная!$S$2:$S$436,Сводная!$Y$2:$Y$436,1,Сводная!$W$2:$W$436,1,Сводная!$E$2:$E$436,8)</f>
        <v>461000</v>
      </c>
      <c r="M32" s="8" t="n">
        <f aca="false">IFERROR(L32/F32,0)</f>
        <v>28812.5</v>
      </c>
    </row>
    <row r="33" customFormat="false" ht="15" hidden="false" customHeight="false" outlineLevel="0" collapsed="false">
      <c r="A33" s="9" t="s">
        <v>31</v>
      </c>
      <c r="B33" s="9" t="n">
        <f aca="false">SUM(B30:B32)</f>
        <v>415</v>
      </c>
      <c r="C33" s="9" t="n">
        <f aca="false">SUM(C30:C32)</f>
        <v>349</v>
      </c>
      <c r="D33" s="9" t="n">
        <f aca="false">SUM(D30:D32)</f>
        <v>214</v>
      </c>
      <c r="E33" s="9" t="n">
        <f aca="false">SUM(E30:E32)</f>
        <v>190</v>
      </c>
      <c r="F33" s="9" t="n">
        <f aca="false">SUM(F30:F32)</f>
        <v>77</v>
      </c>
      <c r="G33" s="10" t="n">
        <f aca="false">IFERROR(C33/B33,0)</f>
        <v>0.840963855421687</v>
      </c>
      <c r="H33" s="10" t="n">
        <f aca="false">IFERROR(D33/C33,0)</f>
        <v>0.613180515759312</v>
      </c>
      <c r="I33" s="10" t="n">
        <f aca="false">IFERROR(E33/D33,0)</f>
        <v>0.88785046728972</v>
      </c>
      <c r="J33" s="10" t="n">
        <f aca="false">IFERROR(F33/E33,0)</f>
        <v>0.405263157894737</v>
      </c>
      <c r="K33" s="10" t="n">
        <f aca="false">IFERROR(F33/B33,0)</f>
        <v>0.185542168674699</v>
      </c>
      <c r="L33" s="11" t="n">
        <f aca="false">SUM(L30:L32)</f>
        <v>2615100</v>
      </c>
      <c r="M33" s="11" t="n">
        <f aca="false">IFERROR(L33/F33,0)</f>
        <v>33962.3376623377</v>
      </c>
    </row>
    <row r="35" customFormat="false" ht="15" hidden="false" customHeight="false" outlineLevel="0" collapsed="false">
      <c r="A35" s="3" t="s">
        <v>33</v>
      </c>
    </row>
    <row r="36" customFormat="false" ht="23.85" hidden="false" customHeight="false" outlineLevel="0" collapsed="false">
      <c r="A36" s="4"/>
      <c r="B36" s="4" t="s">
        <v>8</v>
      </c>
      <c r="C36" s="4" t="s">
        <v>9</v>
      </c>
      <c r="D36" s="4" t="s">
        <v>10</v>
      </c>
      <c r="E36" s="4" t="s">
        <v>11</v>
      </c>
      <c r="F36" s="4" t="s">
        <v>12</v>
      </c>
      <c r="G36" s="4" t="s">
        <v>21</v>
      </c>
      <c r="H36" s="4" t="s">
        <v>22</v>
      </c>
      <c r="I36" s="4" t="s">
        <v>23</v>
      </c>
      <c r="J36" s="4" t="s">
        <v>24</v>
      </c>
      <c r="K36" s="4" t="s">
        <v>25</v>
      </c>
      <c r="L36" s="4" t="s">
        <v>26</v>
      </c>
      <c r="M36" s="4" t="s">
        <v>27</v>
      </c>
    </row>
    <row r="37" customFormat="false" ht="15" hidden="false" customHeight="false" outlineLevel="0" collapsed="false">
      <c r="A37" s="3" t="s">
        <v>34</v>
      </c>
      <c r="B37" s="6" t="n">
        <f aca="false">COUNTIFS(Сводная!$Y$2:$Y$436,1,Сводная!$I$2:$I$436,"Instagram")</f>
        <v>159</v>
      </c>
      <c r="C37" s="6" t="n">
        <f aca="false">COUNTIFS(Сводная!$Y$2:$Y$436,1,Сводная!$X$2:$X$436,1,Сводная!$I$2:$I$436,"Instagram")</f>
        <v>130</v>
      </c>
      <c r="D37" s="6" t="n">
        <f aca="false">COUNTIFS(Сводная!$Y$2:$Y$436,1,Сводная!$M$2:$M$436,1,Сводная!$I$2:$I$436,"Instagram")</f>
        <v>61</v>
      </c>
      <c r="E37" s="6" t="n">
        <f aca="false">COUNTIFS(Сводная!$Y$2:$Y$436,1,Сводная!$O$2:$O$436,1,Сводная!$I$2:$I$436,"Instagram")</f>
        <v>52</v>
      </c>
      <c r="F37" s="6" t="n">
        <f aca="false">COUNTIFS(Сводная!$Y$2:$Y$436,1,Сводная!$W$2:$W$436,1,Сводная!$I$2:$I$436,"Instagram")</f>
        <v>12</v>
      </c>
      <c r="G37" s="7" t="n">
        <f aca="false">IFERROR(C37/B37,0)</f>
        <v>0.817610062893082</v>
      </c>
      <c r="H37" s="7" t="n">
        <f aca="false">IFERROR(D37/C37,0)</f>
        <v>0.469230769230769</v>
      </c>
      <c r="I37" s="7" t="n">
        <f aca="false">IFERROR(E37/D37,0)</f>
        <v>0.852459016393443</v>
      </c>
      <c r="J37" s="7" t="n">
        <f aca="false">IFERROR(F37/E37,0)</f>
        <v>0.230769230769231</v>
      </c>
      <c r="K37" s="7" t="n">
        <f aca="false">IFERROR(F37/B37,0)</f>
        <v>0.0754716981132075</v>
      </c>
      <c r="L37" s="8" t="n">
        <f aca="false">SUMIFS(Сводная!$S$2:$S$436,Сводная!$Y$2:$Y$436,1,Сводная!$W$2:$W$436,1,Сводная!$I$2:$I$436,"Instagram")</f>
        <v>273200</v>
      </c>
      <c r="M37" s="8" t="n">
        <f aca="false">IFERROR(L37/F37,0)</f>
        <v>22766.6666666667</v>
      </c>
    </row>
    <row r="38" customFormat="false" ht="15" hidden="false" customHeight="false" outlineLevel="0" collapsed="false">
      <c r="A38" s="3" t="s">
        <v>35</v>
      </c>
      <c r="B38" s="6" t="n">
        <f aca="false">COUNTIFS(Сводная!$Y$2:$Y$436,1,Сводная!$I$2:$I$436,"999.md")</f>
        <v>95</v>
      </c>
      <c r="C38" s="6" t="n">
        <f aca="false">COUNTIFS(Сводная!$Y$2:$Y$436,1,Сводная!$X$2:$X$436,1,Сводная!$I$2:$I$436,"999.md")</f>
        <v>76</v>
      </c>
      <c r="D38" s="6" t="n">
        <f aca="false">COUNTIFS(Сводная!$Y$2:$Y$436,1,Сводная!$M$2:$M$436,1,Сводная!$I$2:$I$436,"999.md")</f>
        <v>46</v>
      </c>
      <c r="E38" s="6" t="n">
        <f aca="false">COUNTIFS(Сводная!$Y$2:$Y$436,1,Сводная!$O$2:$O$436,1,Сводная!$I$2:$I$436,"999.md")</f>
        <v>44</v>
      </c>
      <c r="F38" s="6" t="n">
        <f aca="false">COUNTIFS(Сводная!$Y$2:$Y$436,1,Сводная!$W$2:$W$436,1,Сводная!$I$2:$I$436,"999.md")</f>
        <v>20</v>
      </c>
      <c r="G38" s="7" t="n">
        <f aca="false">IFERROR(C38/B38,0)</f>
        <v>0.8</v>
      </c>
      <c r="H38" s="7" t="n">
        <f aca="false">IFERROR(D38/C38,0)</f>
        <v>0.605263157894737</v>
      </c>
      <c r="I38" s="7" t="n">
        <f aca="false">IFERROR(E38/D38,0)</f>
        <v>0.956521739130435</v>
      </c>
      <c r="J38" s="7" t="n">
        <f aca="false">IFERROR(F38/E38,0)</f>
        <v>0.454545454545455</v>
      </c>
      <c r="K38" s="7" t="n">
        <f aca="false">IFERROR(F38/B38,0)</f>
        <v>0.210526315789474</v>
      </c>
      <c r="L38" s="8" t="n">
        <f aca="false">SUMIFS(Сводная!$S$2:$S$436,Сводная!$Y$2:$Y$436,1,Сводная!$W$2:$W$436,1,Сводная!$I$2:$I$436,"999.md")</f>
        <v>581800</v>
      </c>
      <c r="M38" s="8" t="n">
        <f aca="false">IFERROR(L38/F38,0)</f>
        <v>29090</v>
      </c>
    </row>
    <row r="39" customFormat="false" ht="15" hidden="false" customHeight="false" outlineLevel="0" collapsed="false">
      <c r="A39" s="3" t="s">
        <v>36</v>
      </c>
      <c r="B39" s="6" t="n">
        <f aca="false">COUNTIFS(Сводная!$Y$2:$Y$436,1,Сводная!$I$2:$I$436,"Рекомендация")</f>
        <v>54</v>
      </c>
      <c r="C39" s="6" t="n">
        <f aca="false">COUNTIFS(Сводная!$Y$2:$Y$436,1,Сводная!$X$2:$X$436,1,Сводная!$I$2:$I$436,"Рекомендация")</f>
        <v>52</v>
      </c>
      <c r="D39" s="6" t="n">
        <f aca="false">COUNTIFS(Сводная!$Y$2:$Y$436,1,Сводная!$M$2:$M$436,1,Сводная!$I$2:$I$436,"Рекомендация")</f>
        <v>47</v>
      </c>
      <c r="E39" s="6" t="n">
        <f aca="false">COUNTIFS(Сводная!$Y$2:$Y$436,1,Сводная!$O$2:$O$436,1,Сводная!$I$2:$I$436,"Рекомендация")</f>
        <v>42</v>
      </c>
      <c r="F39" s="6" t="n">
        <f aca="false">COUNTIFS(Сводная!$Y$2:$Y$436,1,Сводная!$W$2:$W$436,1,Сводная!$I$2:$I$436,"Рекомендация")</f>
        <v>25</v>
      </c>
      <c r="G39" s="7" t="n">
        <f aca="false">IFERROR(C39/B39,0)</f>
        <v>0.962962962962963</v>
      </c>
      <c r="H39" s="7" t="n">
        <f aca="false">IFERROR(D39/C39,0)</f>
        <v>0.903846153846154</v>
      </c>
      <c r="I39" s="7" t="n">
        <f aca="false">IFERROR(E39/D39,0)</f>
        <v>0.893617021276596</v>
      </c>
      <c r="J39" s="7" t="n">
        <f aca="false">IFERROR(F39/E39,0)</f>
        <v>0.595238095238095</v>
      </c>
      <c r="K39" s="7" t="n">
        <f aca="false">IFERROR(F39/B39,0)</f>
        <v>0.462962962962963</v>
      </c>
      <c r="L39" s="8" t="n">
        <f aca="false">SUMIFS(Сводная!$S$2:$S$436,Сводная!$Y$2:$Y$436,1,Сводная!$W$2:$W$436,1,Сводная!$I$2:$I$436,"Рекомендация")</f>
        <v>1215500</v>
      </c>
      <c r="M39" s="8" t="n">
        <f aca="false">IFERROR(L39/F39,0)</f>
        <v>48620</v>
      </c>
    </row>
    <row r="40" customFormat="false" ht="15" hidden="false" customHeight="false" outlineLevel="0" collapsed="false">
      <c r="A40" s="3" t="s">
        <v>37</v>
      </c>
      <c r="B40" s="6" t="n">
        <f aca="false">COUNTIFS(Сводная!$Y$2:$Y$436,1,Сводная!$I$2:$I$436,"Входящий звонок")</f>
        <v>49</v>
      </c>
      <c r="C40" s="6" t="n">
        <f aca="false">COUNTIFS(Сводная!$Y$2:$Y$436,1,Сводная!$X$2:$X$436,1,Сводная!$I$2:$I$436,"Входящий звонок")</f>
        <v>44</v>
      </c>
      <c r="D40" s="6" t="n">
        <f aca="false">COUNTIFS(Сводная!$Y$2:$Y$436,1,Сводная!$M$2:$M$436,1,Сводная!$I$2:$I$436,"Входящий звонок")</f>
        <v>37</v>
      </c>
      <c r="E40" s="6" t="n">
        <f aca="false">COUNTIFS(Сводная!$Y$2:$Y$436,1,Сводная!$O$2:$O$436,1,Сводная!$I$2:$I$436,"Входящий звонок")</f>
        <v>32</v>
      </c>
      <c r="F40" s="6" t="n">
        <f aca="false">COUNTIFS(Сводная!$Y$2:$Y$436,1,Сводная!$W$2:$W$436,1,Сводная!$I$2:$I$436,"Входящий звонок")</f>
        <v>16</v>
      </c>
      <c r="G40" s="7" t="n">
        <f aca="false">IFERROR(C40/B40,0)</f>
        <v>0.897959183673469</v>
      </c>
      <c r="H40" s="7" t="n">
        <f aca="false">IFERROR(D40/C40,0)</f>
        <v>0.840909090909091</v>
      </c>
      <c r="I40" s="7" t="n">
        <f aca="false">IFERROR(E40/D40,0)</f>
        <v>0.864864864864865</v>
      </c>
      <c r="J40" s="7" t="n">
        <f aca="false">IFERROR(F40/E40,0)</f>
        <v>0.5</v>
      </c>
      <c r="K40" s="7" t="n">
        <f aca="false">IFERROR(F40/B40,0)</f>
        <v>0.326530612244898</v>
      </c>
      <c r="L40" s="8" t="n">
        <f aca="false">SUMIFS(Сводная!$S$2:$S$436,Сводная!$Y$2:$Y$436,1,Сводная!$W$2:$W$436,1,Сводная!$I$2:$I$436,"Входящий звонок")</f>
        <v>431100</v>
      </c>
      <c r="M40" s="8" t="n">
        <f aca="false">IFERROR(L40/F40,0)</f>
        <v>26943.75</v>
      </c>
    </row>
    <row r="41" customFormat="false" ht="15" hidden="false" customHeight="false" outlineLevel="0" collapsed="false">
      <c r="A41" s="3" t="s">
        <v>38</v>
      </c>
      <c r="B41" s="6" t="n">
        <f aca="false">COUNTIFS(Сводная!$Y$2:$Y$436,1,Сводная!$I$2:$I$436,"Facebook")</f>
        <v>44</v>
      </c>
      <c r="C41" s="6" t="n">
        <f aca="false">COUNTIFS(Сводная!$Y$2:$Y$436,1,Сводная!$X$2:$X$436,1,Сводная!$I$2:$I$436,"Facebook")</f>
        <v>37</v>
      </c>
      <c r="D41" s="6" t="n">
        <f aca="false">COUNTIFS(Сводная!$Y$2:$Y$436,1,Сводная!$M$2:$M$436,1,Сводная!$I$2:$I$436,"Facebook")</f>
        <v>20</v>
      </c>
      <c r="E41" s="6" t="n">
        <f aca="false">COUNTIFS(Сводная!$Y$2:$Y$436,1,Сводная!$O$2:$O$436,1,Сводная!$I$2:$I$436,"Facebook")</f>
        <v>19</v>
      </c>
      <c r="F41" s="6" t="n">
        <f aca="false">COUNTIFS(Сводная!$Y$2:$Y$436,1,Сводная!$W$2:$W$436,1,Сводная!$I$2:$I$436,"Facebook")</f>
        <v>4</v>
      </c>
      <c r="G41" s="7" t="n">
        <f aca="false">IFERROR(C41/B41,0)</f>
        <v>0.840909090909091</v>
      </c>
      <c r="H41" s="7" t="n">
        <f aca="false">IFERROR(D41/C41,0)</f>
        <v>0.540540540540541</v>
      </c>
      <c r="I41" s="7" t="n">
        <f aca="false">IFERROR(E41/D41,0)</f>
        <v>0.95</v>
      </c>
      <c r="J41" s="7" t="n">
        <f aca="false">IFERROR(F41/E41,0)</f>
        <v>0.210526315789474</v>
      </c>
      <c r="K41" s="7" t="n">
        <f aca="false">IFERROR(F41/B41,0)</f>
        <v>0.0909090909090909</v>
      </c>
      <c r="L41" s="8" t="n">
        <f aca="false">SUMIFS(Сводная!$S$2:$S$436,Сводная!$Y$2:$Y$436,1,Сводная!$W$2:$W$436,1,Сводная!$I$2:$I$436,"Facebook")</f>
        <v>113500</v>
      </c>
      <c r="M41" s="8" t="n">
        <f aca="false">IFERROR(L41/F41,0)</f>
        <v>28375</v>
      </c>
    </row>
    <row r="42" customFormat="false" ht="15" hidden="false" customHeight="false" outlineLevel="0" collapsed="false">
      <c r="A42" s="3" t="s">
        <v>39</v>
      </c>
      <c r="B42" s="6" t="n">
        <f aca="false">COUNTIFS(Сводная!$Y$2:$Y$436,1,Сводная!$I$2:$I$436,"Не указан")</f>
        <v>14</v>
      </c>
      <c r="C42" s="6" t="n">
        <f aca="false">COUNTIFS(Сводная!$Y$2:$Y$436,1,Сводная!$X$2:$X$436,1,Сводная!$I$2:$I$436,"Не указан")</f>
        <v>10</v>
      </c>
      <c r="D42" s="6" t="n">
        <f aca="false">COUNTIFS(Сводная!$Y$2:$Y$436,1,Сводная!$M$2:$M$436,1,Сводная!$I$2:$I$436,"Не указан")</f>
        <v>3</v>
      </c>
      <c r="E42" s="6" t="n">
        <f aca="false">COUNTIFS(Сводная!$Y$2:$Y$436,1,Сводная!$O$2:$O$436,1,Сводная!$I$2:$I$436,"Не указан")</f>
        <v>1</v>
      </c>
      <c r="F42" s="6" t="n">
        <f aca="false">COUNTIFS(Сводная!$Y$2:$Y$436,1,Сводная!$W$2:$W$436,1,Сводная!$I$2:$I$436,"Не указан")</f>
        <v>0</v>
      </c>
      <c r="G42" s="7" t="n">
        <f aca="false">IFERROR(C42/B42,0)</f>
        <v>0.714285714285714</v>
      </c>
      <c r="H42" s="7" t="n">
        <f aca="false">IFERROR(D42/C42,0)</f>
        <v>0.3</v>
      </c>
      <c r="I42" s="7" t="n">
        <f aca="false">IFERROR(E42/D42,0)</f>
        <v>0.333333333333333</v>
      </c>
      <c r="J42" s="7" t="n">
        <f aca="false">IFERROR(F42/E42,0)</f>
        <v>0</v>
      </c>
      <c r="K42" s="7" t="n">
        <f aca="false">IFERROR(F42/B42,0)</f>
        <v>0</v>
      </c>
      <c r="L42" s="8" t="n">
        <f aca="false">SUMIFS(Сводная!$S$2:$S$436,Сводная!$Y$2:$Y$436,1,Сводная!$W$2:$W$436,1,Сводная!$I$2:$I$436,"Не указан")</f>
        <v>0</v>
      </c>
      <c r="M42" s="8" t="n">
        <f aca="false">IFERROR(L42/F42,0)</f>
        <v>0</v>
      </c>
    </row>
    <row r="43" customFormat="false" ht="15" hidden="false" customHeight="false" outlineLevel="0" collapsed="false">
      <c r="A43" s="9" t="s">
        <v>31</v>
      </c>
      <c r="B43" s="9" t="n">
        <f aca="false">SUM(B37:B42)</f>
        <v>415</v>
      </c>
      <c r="C43" s="9" t="n">
        <f aca="false">SUM(C37:C42)</f>
        <v>349</v>
      </c>
      <c r="D43" s="9" t="n">
        <f aca="false">SUM(D37:D42)</f>
        <v>214</v>
      </c>
      <c r="E43" s="9" t="n">
        <f aca="false">SUM(E37:E42)</f>
        <v>190</v>
      </c>
      <c r="F43" s="9" t="n">
        <f aca="false">SUM(F37:F42)</f>
        <v>77</v>
      </c>
      <c r="G43" s="10" t="n">
        <f aca="false">IFERROR(C43/B43,0)</f>
        <v>0.840963855421687</v>
      </c>
      <c r="H43" s="10" t="n">
        <f aca="false">IFERROR(D43/C43,0)</f>
        <v>0.613180515759312</v>
      </c>
      <c r="I43" s="10" t="n">
        <f aca="false">IFERROR(E43/D43,0)</f>
        <v>0.88785046728972</v>
      </c>
      <c r="J43" s="10" t="n">
        <f aca="false">IFERROR(F43/E43,0)</f>
        <v>0.405263157894737</v>
      </c>
      <c r="K43" s="10" t="n">
        <f aca="false">IFERROR(F43/B43,0)</f>
        <v>0.185542168674699</v>
      </c>
      <c r="L43" s="11" t="n">
        <f aca="false">SUM(L37:L42)</f>
        <v>2615100</v>
      </c>
      <c r="M43" s="11" t="n">
        <f aca="false">IFERROR(L43/F43,0)</f>
        <v>33962.3376623377</v>
      </c>
    </row>
    <row r="45" customFormat="false" ht="15" hidden="false" customHeight="false" outlineLevel="0" collapsed="false">
      <c r="A45" s="2" t="s">
        <v>40</v>
      </c>
    </row>
  </sheetData>
  <conditionalFormatting sqref="B6:B10">
    <cfRule type="dataBar" priority="2">
      <dataBar showValue="1" minLength="10" maxLength="90">
        <cfvo type="num" val="0"/>
        <cfvo type="max" val="0"/>
        <color rgb="FF5B8DB8"/>
      </dataBar>
      <extLst>
        <ext xmlns:x14="http://schemas.microsoft.com/office/spreadsheetml/2009/9/main" uri="{B025F937-C7B1-47D3-B67F-A62EFF666E3E}">
          <x14:id>{AF34BFFD-F093-4632-B5B8-A0DCC04252A4}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34BFFD-F093-4632-B5B8-A0DCC04252A4}">
            <x14:dataBar minLength="10" maxLength="90" axisPosition="none" gradient="true">
              <x14:cfvo type="num">
                <xm:f>0</xm:f>
              </x14:cfvo>
              <x14:cfvo type="max"/>
              <x14:negativeFillColor rgb="FF5B8DB8"/>
              <x14:axisColor rgb="FF000000"/>
            </x14:dataBar>
          </x14:cfRule>
          <xm:sqref>B6:B10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11"/>
    <col collapsed="false" customWidth="true" hidden="false" outlineLevel="0" max="13" min="13" style="0" width="7"/>
    <col collapsed="false" customWidth="true" hidden="false" outlineLevel="0" max="14" min="14" style="0" width="11"/>
    <col collapsed="false" customWidth="true" hidden="false" outlineLevel="0" max="15" min="15" style="0" width="5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8" min="18" style="0" width="7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16"/>
    <col collapsed="false" customWidth="true" hidden="false" outlineLevel="0" max="22" min="22" style="0" width="11"/>
    <col collapsed="false" customWidth="true" hidden="false" outlineLevel="0" max="23" min="23" style="0" width="7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40"/>
    <col collapsed="false" customWidth="true" hidden="false" outlineLevel="0" max="27" min="27" style="0" width="50"/>
    <col collapsed="false" customWidth="true" hidden="false" outlineLevel="0" max="28" min="28" style="0" width="40"/>
  </cols>
  <sheetData>
    <row r="1" customFormat="false" ht="31.5" hidden="false" customHeight="true" outlineLevel="0" collapsed="false">
      <c r="A1" s="12" t="s">
        <v>41</v>
      </c>
      <c r="B1" s="12" t="s">
        <v>42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10</v>
      </c>
      <c r="N1" s="12" t="s">
        <v>53</v>
      </c>
      <c r="O1" s="12" t="s">
        <v>11</v>
      </c>
      <c r="P1" s="12" t="s">
        <v>54</v>
      </c>
      <c r="Q1" s="12" t="s">
        <v>55</v>
      </c>
      <c r="R1" s="12" t="s">
        <v>56</v>
      </c>
      <c r="S1" s="12" t="s">
        <v>57</v>
      </c>
      <c r="T1" s="12" t="s">
        <v>58</v>
      </c>
      <c r="U1" s="12" t="s">
        <v>59</v>
      </c>
      <c r="V1" s="12" t="s">
        <v>60</v>
      </c>
      <c r="W1" s="12" t="s">
        <v>12</v>
      </c>
      <c r="X1" s="12" t="s">
        <v>9</v>
      </c>
      <c r="Y1" s="12" t="s">
        <v>61</v>
      </c>
      <c r="Z1" s="12" t="s">
        <v>62</v>
      </c>
      <c r="AA1" s="12" t="s">
        <v>63</v>
      </c>
      <c r="AB1" s="12" t="s">
        <v>64</v>
      </c>
    </row>
    <row r="2" customFormat="false" ht="15" hidden="false" customHeight="false" outlineLevel="0" collapsed="false">
      <c r="A2" s="6" t="n">
        <v>1</v>
      </c>
      <c r="B2" s="6" t="s">
        <v>29</v>
      </c>
      <c r="C2" s="6" t="s">
        <v>65</v>
      </c>
      <c r="D2" s="13" t="n">
        <v>46174</v>
      </c>
      <c r="E2" s="6" t="n">
        <f aca="false">MONTH(D2)</f>
        <v>6</v>
      </c>
      <c r="F2" s="6" t="s">
        <v>66</v>
      </c>
      <c r="G2" s="6" t="s">
        <v>67</v>
      </c>
      <c r="H2" s="6" t="s">
        <v>68</v>
      </c>
      <c r="I2" s="6" t="s">
        <v>37</v>
      </c>
      <c r="J2" s="6" t="s">
        <v>69</v>
      </c>
      <c r="K2" s="6" t="s">
        <v>70</v>
      </c>
      <c r="L2" s="13" t="n">
        <v>46178</v>
      </c>
      <c r="M2" s="6" t="n">
        <v>1</v>
      </c>
      <c r="N2" s="13"/>
      <c r="O2" s="6" t="n">
        <v>0</v>
      </c>
      <c r="P2" s="6"/>
      <c r="Q2" s="8"/>
      <c r="R2" s="6"/>
      <c r="S2" s="8" t="str">
        <f aca="false">IF(Q2="","",IF(R2="EUR",ROUND(Q2*Параметры!$B$3,0),Q2))</f>
        <v/>
      </c>
      <c r="T2" s="6" t="s">
        <v>71</v>
      </c>
      <c r="U2" s="6" t="s">
        <v>72</v>
      </c>
      <c r="V2" s="13"/>
      <c r="W2" s="6" t="n">
        <f aca="false">IF(T2="Оплачено",1,0)</f>
        <v>0</v>
      </c>
      <c r="X2" s="6" t="n">
        <f aca="false">IF(OR(T2="Не дозвонились",Y2=0),0,1)</f>
        <v>1</v>
      </c>
      <c r="Y2" s="6" t="n">
        <v>1</v>
      </c>
      <c r="Z2" s="6"/>
      <c r="AA2" s="6"/>
      <c r="AB2" s="6" t="s">
        <v>73</v>
      </c>
    </row>
    <row r="3" customFormat="false" ht="15" hidden="false" customHeight="false" outlineLevel="0" collapsed="false">
      <c r="A3" s="6" t="n">
        <v>2</v>
      </c>
      <c r="B3" s="6" t="s">
        <v>30</v>
      </c>
      <c r="C3" s="6" t="s">
        <v>74</v>
      </c>
      <c r="D3" s="13" t="n">
        <v>46174</v>
      </c>
      <c r="E3" s="6" t="n">
        <f aca="false">MONTH(D3)</f>
        <v>6</v>
      </c>
      <c r="F3" s="6" t="s">
        <v>75</v>
      </c>
      <c r="G3" s="6" t="s">
        <v>76</v>
      </c>
      <c r="H3" s="6" t="s">
        <v>77</v>
      </c>
      <c r="I3" s="6" t="s">
        <v>38</v>
      </c>
      <c r="J3" s="6" t="s">
        <v>78</v>
      </c>
      <c r="K3" s="6" t="s">
        <v>79</v>
      </c>
      <c r="L3" s="13"/>
      <c r="M3" s="6" t="n">
        <v>0</v>
      </c>
      <c r="N3" s="13"/>
      <c r="O3" s="6" t="n">
        <v>0</v>
      </c>
      <c r="P3" s="6"/>
      <c r="Q3" s="8"/>
      <c r="R3" s="6"/>
      <c r="S3" s="8" t="str">
        <f aca="false">IF(Q3="","",IF(R3="EUR",ROUND(Q3*Параметры!$B$3,0),Q3))</f>
        <v/>
      </c>
      <c r="T3" s="6" t="s">
        <v>80</v>
      </c>
      <c r="U3" s="6" t="s">
        <v>81</v>
      </c>
      <c r="V3" s="13"/>
      <c r="W3" s="6" t="n">
        <f aca="false">IF(T3="Оплачено",1,0)</f>
        <v>0</v>
      </c>
      <c r="X3" s="6" t="n">
        <f aca="false">IF(OR(T3="Не дозвонились",Y3=0),0,1)</f>
        <v>0</v>
      </c>
      <c r="Y3" s="6" t="n">
        <v>1</v>
      </c>
      <c r="Z3" s="6"/>
      <c r="AA3" s="6"/>
      <c r="AB3" s="6"/>
    </row>
    <row r="4" customFormat="false" ht="15" hidden="false" customHeight="false" outlineLevel="0" collapsed="false">
      <c r="A4" s="6" t="n">
        <v>3</v>
      </c>
      <c r="B4" s="6" t="s">
        <v>30</v>
      </c>
      <c r="C4" s="6" t="s">
        <v>82</v>
      </c>
      <c r="D4" s="13" t="n">
        <v>46174</v>
      </c>
      <c r="E4" s="6" t="n">
        <f aca="false">MONTH(D4)</f>
        <v>6</v>
      </c>
      <c r="F4" s="6" t="s">
        <v>83</v>
      </c>
      <c r="G4" s="6" t="s">
        <v>84</v>
      </c>
      <c r="H4" s="6" t="s">
        <v>85</v>
      </c>
      <c r="I4" s="6" t="s">
        <v>37</v>
      </c>
      <c r="J4" s="6" t="s">
        <v>86</v>
      </c>
      <c r="K4" s="6" t="s">
        <v>87</v>
      </c>
      <c r="L4" s="13" t="n">
        <v>46176</v>
      </c>
      <c r="M4" s="6" t="n">
        <v>1</v>
      </c>
      <c r="N4" s="13" t="n">
        <v>46177</v>
      </c>
      <c r="O4" s="6" t="n">
        <v>1</v>
      </c>
      <c r="P4" s="6" t="s">
        <v>88</v>
      </c>
      <c r="Q4" s="8" t="n">
        <v>24200</v>
      </c>
      <c r="R4" s="6" t="s">
        <v>89</v>
      </c>
      <c r="S4" s="8" t="n">
        <f aca="false">IF(Q4="","",IF(R4="EUR",ROUND(Q4*Параметры!$B$3,0),Q4))</f>
        <v>24200</v>
      </c>
      <c r="T4" s="6" t="s">
        <v>90</v>
      </c>
      <c r="U4" s="6" t="s">
        <v>91</v>
      </c>
      <c r="V4" s="13"/>
      <c r="W4" s="6" t="n">
        <f aca="false">IF(T4="Оплачено",1,0)</f>
        <v>0</v>
      </c>
      <c r="X4" s="6" t="n">
        <f aca="false">IF(OR(T4="Не дозвонились",Y4=0),0,1)</f>
        <v>1</v>
      </c>
      <c r="Y4" s="6" t="n">
        <v>1</v>
      </c>
      <c r="Z4" s="6"/>
      <c r="AA4" s="6"/>
      <c r="AB4" s="6" t="s">
        <v>92</v>
      </c>
    </row>
    <row r="5" customFormat="false" ht="15" hidden="false" customHeight="false" outlineLevel="0" collapsed="false">
      <c r="A5" s="6" t="n">
        <v>4</v>
      </c>
      <c r="B5" s="6" t="s">
        <v>28</v>
      </c>
      <c r="C5" s="6" t="s">
        <v>93</v>
      </c>
      <c r="D5" s="13" t="n">
        <v>46175</v>
      </c>
      <c r="E5" s="6" t="n">
        <f aca="false">MONTH(D5)</f>
        <v>6</v>
      </c>
      <c r="F5" s="6" t="s">
        <v>94</v>
      </c>
      <c r="G5" s="6" t="s">
        <v>95</v>
      </c>
      <c r="H5" s="6" t="s">
        <v>96</v>
      </c>
      <c r="I5" s="6" t="s">
        <v>34</v>
      </c>
      <c r="J5" s="6" t="s">
        <v>97</v>
      </c>
      <c r="K5" s="6" t="s">
        <v>98</v>
      </c>
      <c r="L5" s="13" t="n">
        <v>46176</v>
      </c>
      <c r="M5" s="6" t="n">
        <v>1</v>
      </c>
      <c r="N5" s="13" t="n">
        <v>46176</v>
      </c>
      <c r="O5" s="6" t="n">
        <v>1</v>
      </c>
      <c r="P5" s="6" t="s">
        <v>99</v>
      </c>
      <c r="Q5" s="8" t="n">
        <v>128100</v>
      </c>
      <c r="R5" s="6" t="s">
        <v>89</v>
      </c>
      <c r="S5" s="8" t="n">
        <f aca="false">IF(Q5="","",IF(R5="EUR",ROUND(Q5*Параметры!$B$3,0),Q5))</f>
        <v>128100</v>
      </c>
      <c r="T5" s="6" t="s">
        <v>71</v>
      </c>
      <c r="U5" s="6" t="s">
        <v>71</v>
      </c>
      <c r="V5" s="13"/>
      <c r="W5" s="6" t="n">
        <f aca="false">IF(T5="Оплачено",1,0)</f>
        <v>0</v>
      </c>
      <c r="X5" s="6" t="n">
        <f aca="false">IF(OR(T5="Не дозвонились",Y5=0),0,1)</f>
        <v>1</v>
      </c>
      <c r="Y5" s="6" t="n">
        <v>1</v>
      </c>
      <c r="Z5" s="6"/>
      <c r="AA5" s="6"/>
      <c r="AB5" s="6"/>
    </row>
    <row r="6" customFormat="false" ht="15" hidden="false" customHeight="false" outlineLevel="0" collapsed="false">
      <c r="A6" s="6" t="n">
        <v>5</v>
      </c>
      <c r="B6" s="6" t="s">
        <v>28</v>
      </c>
      <c r="C6" s="6" t="s">
        <v>100</v>
      </c>
      <c r="D6" s="13" t="n">
        <v>46175</v>
      </c>
      <c r="E6" s="6" t="n">
        <f aca="false">MONTH(D6)</f>
        <v>6</v>
      </c>
      <c r="F6" s="6" t="s">
        <v>101</v>
      </c>
      <c r="G6" s="6" t="s">
        <v>102</v>
      </c>
      <c r="H6" s="6" t="s">
        <v>103</v>
      </c>
      <c r="I6" s="6" t="s">
        <v>34</v>
      </c>
      <c r="J6" s="6" t="s">
        <v>34</v>
      </c>
      <c r="K6" s="6" t="s">
        <v>104</v>
      </c>
      <c r="L6" s="13" t="n">
        <v>46179</v>
      </c>
      <c r="M6" s="6" t="n">
        <v>1</v>
      </c>
      <c r="N6" s="13" t="n">
        <v>46180</v>
      </c>
      <c r="O6" s="6" t="n">
        <v>1</v>
      </c>
      <c r="P6" s="6" t="s">
        <v>105</v>
      </c>
      <c r="Q6" s="8" t="n">
        <v>9000</v>
      </c>
      <c r="R6" s="6" t="s">
        <v>89</v>
      </c>
      <c r="S6" s="8" t="n">
        <f aca="false">IF(Q6="","",IF(R6="EUR",ROUND(Q6*Параметры!$B$3,0),Q6))</f>
        <v>9000</v>
      </c>
      <c r="T6" s="6" t="s">
        <v>90</v>
      </c>
      <c r="U6" s="6" t="s">
        <v>90</v>
      </c>
      <c r="V6" s="13"/>
      <c r="W6" s="6" t="n">
        <f aca="false">IF(T6="Оплачено",1,0)</f>
        <v>0</v>
      </c>
      <c r="X6" s="6" t="n">
        <f aca="false">IF(OR(T6="Не дозвонились",Y6=0),0,1)</f>
        <v>1</v>
      </c>
      <c r="Y6" s="6" t="n">
        <v>1</v>
      </c>
      <c r="Z6" s="6"/>
      <c r="AA6" s="6"/>
      <c r="AB6" s="6" t="s">
        <v>106</v>
      </c>
    </row>
    <row r="7" customFormat="false" ht="15" hidden="false" customHeight="false" outlineLevel="0" collapsed="false">
      <c r="A7" s="6" t="n">
        <v>6</v>
      </c>
      <c r="B7" s="6" t="s">
        <v>28</v>
      </c>
      <c r="C7" s="6" t="s">
        <v>107</v>
      </c>
      <c r="D7" s="13" t="n">
        <v>46175</v>
      </c>
      <c r="E7" s="6" t="n">
        <f aca="false">MONTH(D7)</f>
        <v>6</v>
      </c>
      <c r="F7" s="6" t="s">
        <v>108</v>
      </c>
      <c r="G7" s="6" t="s">
        <v>109</v>
      </c>
      <c r="H7" s="6" t="s">
        <v>96</v>
      </c>
      <c r="I7" s="6" t="s">
        <v>35</v>
      </c>
      <c r="J7" s="6" t="s">
        <v>35</v>
      </c>
      <c r="K7" s="6" t="s">
        <v>110</v>
      </c>
      <c r="L7" s="13"/>
      <c r="M7" s="6" t="n">
        <v>0</v>
      </c>
      <c r="N7" s="13"/>
      <c r="O7" s="6" t="n">
        <v>0</v>
      </c>
      <c r="P7" s="6"/>
      <c r="Q7" s="8"/>
      <c r="R7" s="6"/>
      <c r="S7" s="8" t="str">
        <f aca="false">IF(Q7="","",IF(R7="EUR",ROUND(Q7*Параметры!$B$3,0),Q7))</f>
        <v/>
      </c>
      <c r="T7" s="6" t="s">
        <v>71</v>
      </c>
      <c r="U7" s="6" t="s">
        <v>71</v>
      </c>
      <c r="V7" s="13"/>
      <c r="W7" s="6" t="n">
        <f aca="false">IF(T7="Оплачено",1,0)</f>
        <v>0</v>
      </c>
      <c r="X7" s="6" t="n">
        <f aca="false">IF(OR(T7="Не дозвонились",Y7=0),0,1)</f>
        <v>1</v>
      </c>
      <c r="Y7" s="6" t="n">
        <v>1</v>
      </c>
      <c r="Z7" s="6"/>
      <c r="AA7" s="6"/>
      <c r="AB7" s="6"/>
    </row>
    <row r="8" customFormat="false" ht="15" hidden="false" customHeight="false" outlineLevel="0" collapsed="false">
      <c r="A8" s="6" t="n">
        <v>7</v>
      </c>
      <c r="B8" s="6" t="s">
        <v>29</v>
      </c>
      <c r="C8" s="6" t="s">
        <v>111</v>
      </c>
      <c r="D8" s="13" t="n">
        <v>46175</v>
      </c>
      <c r="E8" s="6" t="n">
        <f aca="false">MONTH(D8)</f>
        <v>6</v>
      </c>
      <c r="F8" s="6" t="s">
        <v>112</v>
      </c>
      <c r="G8" s="6" t="s">
        <v>113</v>
      </c>
      <c r="H8" s="6" t="s">
        <v>114</v>
      </c>
      <c r="I8" s="6" t="s">
        <v>37</v>
      </c>
      <c r="J8" s="6" t="s">
        <v>115</v>
      </c>
      <c r="K8" s="6" t="s">
        <v>116</v>
      </c>
      <c r="L8" s="13"/>
      <c r="M8" s="6" t="n">
        <v>0</v>
      </c>
      <c r="N8" s="13"/>
      <c r="O8" s="6" t="n">
        <v>0</v>
      </c>
      <c r="P8" s="6"/>
      <c r="Q8" s="8"/>
      <c r="R8" s="6"/>
      <c r="S8" s="8" t="str">
        <f aca="false">IF(Q8="","",IF(R8="EUR",ROUND(Q8*Параметры!$B$3,0),Q8))</f>
        <v/>
      </c>
      <c r="T8" s="6" t="s">
        <v>80</v>
      </c>
      <c r="U8" s="6" t="s">
        <v>117</v>
      </c>
      <c r="V8" s="13"/>
      <c r="W8" s="6" t="n">
        <f aca="false">IF(T8="Оплачено",1,0)</f>
        <v>0</v>
      </c>
      <c r="X8" s="6" t="n">
        <f aca="false">IF(OR(T8="Не дозвонились",Y8=0),0,1)</f>
        <v>0</v>
      </c>
      <c r="Y8" s="6" t="n">
        <v>1</v>
      </c>
      <c r="Z8" s="6"/>
      <c r="AA8" s="6"/>
      <c r="AB8" s="6"/>
    </row>
    <row r="9" customFormat="false" ht="15" hidden="false" customHeight="false" outlineLevel="0" collapsed="false">
      <c r="A9" s="6" t="n">
        <v>8</v>
      </c>
      <c r="B9" s="6" t="s">
        <v>29</v>
      </c>
      <c r="C9" s="6" t="s">
        <v>118</v>
      </c>
      <c r="D9" s="13" t="n">
        <v>46175</v>
      </c>
      <c r="E9" s="6" t="n">
        <f aca="false">MONTH(D9)</f>
        <v>6</v>
      </c>
      <c r="F9" s="6" t="s">
        <v>119</v>
      </c>
      <c r="G9" s="6" t="s">
        <v>120</v>
      </c>
      <c r="H9" s="6" t="s">
        <v>121</v>
      </c>
      <c r="I9" s="6" t="s">
        <v>38</v>
      </c>
      <c r="J9" s="6" t="s">
        <v>38</v>
      </c>
      <c r="K9" s="6" t="s">
        <v>70</v>
      </c>
      <c r="L9" s="13" t="n">
        <v>46180</v>
      </c>
      <c r="M9" s="6" t="n">
        <v>1</v>
      </c>
      <c r="N9" s="13" t="n">
        <v>46180</v>
      </c>
      <c r="O9" s="6" t="n">
        <v>1</v>
      </c>
      <c r="P9" s="6" t="s">
        <v>122</v>
      </c>
      <c r="Q9" s="8" t="n">
        <v>8500</v>
      </c>
      <c r="R9" s="6" t="s">
        <v>89</v>
      </c>
      <c r="S9" s="8" t="n">
        <f aca="false">IF(Q9="","",IF(R9="EUR",ROUND(Q9*Параметры!$B$3,0),Q9))</f>
        <v>8500</v>
      </c>
      <c r="T9" s="6" t="s">
        <v>90</v>
      </c>
      <c r="U9" s="6" t="s">
        <v>123</v>
      </c>
      <c r="V9" s="13"/>
      <c r="W9" s="6" t="n">
        <f aca="false">IF(T9="Оплачено",1,0)</f>
        <v>0</v>
      </c>
      <c r="X9" s="6" t="n">
        <f aca="false">IF(OR(T9="Не дозвонились",Y9=0),0,1)</f>
        <v>1</v>
      </c>
      <c r="Y9" s="6" t="n">
        <v>1</v>
      </c>
      <c r="Z9" s="6"/>
      <c r="AA9" s="6"/>
      <c r="AB9" s="6" t="s">
        <v>124</v>
      </c>
    </row>
    <row r="10" customFormat="false" ht="15" hidden="false" customHeight="false" outlineLevel="0" collapsed="false">
      <c r="A10" s="6" t="n">
        <v>9</v>
      </c>
      <c r="B10" s="6" t="s">
        <v>29</v>
      </c>
      <c r="C10" s="6" t="s">
        <v>125</v>
      </c>
      <c r="D10" s="13" t="n">
        <v>46175</v>
      </c>
      <c r="E10" s="6" t="n">
        <f aca="false">MONTH(D10)</f>
        <v>6</v>
      </c>
      <c r="F10" s="6" t="s">
        <v>126</v>
      </c>
      <c r="G10" s="6" t="s">
        <v>127</v>
      </c>
      <c r="H10" s="6" t="s">
        <v>96</v>
      </c>
      <c r="I10" s="6" t="s">
        <v>34</v>
      </c>
      <c r="J10" s="6" t="s">
        <v>34</v>
      </c>
      <c r="K10" s="6" t="s">
        <v>128</v>
      </c>
      <c r="L10" s="13"/>
      <c r="M10" s="6" t="n">
        <v>0</v>
      </c>
      <c r="N10" s="13"/>
      <c r="O10" s="6" t="n">
        <v>0</v>
      </c>
      <c r="P10" s="6"/>
      <c r="Q10" s="8"/>
      <c r="R10" s="6"/>
      <c r="S10" s="8" t="str">
        <f aca="false">IF(Q10="","",IF(R10="EUR",ROUND(Q10*Параметры!$B$3,0),Q10))</f>
        <v/>
      </c>
      <c r="T10" s="6" t="s">
        <v>80</v>
      </c>
      <c r="U10" s="6" t="s">
        <v>117</v>
      </c>
      <c r="V10" s="13"/>
      <c r="W10" s="6" t="n">
        <f aca="false">IF(T10="Оплачено",1,0)</f>
        <v>0</v>
      </c>
      <c r="X10" s="6" t="n">
        <f aca="false">IF(OR(T10="Не дозвонились",Y10=0),0,1)</f>
        <v>0</v>
      </c>
      <c r="Y10" s="6" t="n">
        <v>1</v>
      </c>
      <c r="Z10" s="6"/>
      <c r="AA10" s="6"/>
      <c r="AB10" s="6"/>
    </row>
    <row r="11" customFormat="false" ht="15" hidden="false" customHeight="false" outlineLevel="0" collapsed="false">
      <c r="A11" s="6" t="n">
        <v>10</v>
      </c>
      <c r="B11" s="6" t="s">
        <v>30</v>
      </c>
      <c r="C11" s="6" t="s">
        <v>129</v>
      </c>
      <c r="D11" s="13" t="n">
        <v>46175</v>
      </c>
      <c r="E11" s="6" t="n">
        <f aca="false">MONTH(D11)</f>
        <v>6</v>
      </c>
      <c r="F11" s="6" t="s">
        <v>130</v>
      </c>
      <c r="G11" s="6" t="s">
        <v>131</v>
      </c>
      <c r="H11" s="6" t="s">
        <v>77</v>
      </c>
      <c r="I11" s="6" t="s">
        <v>34</v>
      </c>
      <c r="J11" s="6" t="s">
        <v>132</v>
      </c>
      <c r="K11" s="6" t="s">
        <v>133</v>
      </c>
      <c r="L11" s="13" t="n">
        <v>46176</v>
      </c>
      <c r="M11" s="6" t="n">
        <v>1</v>
      </c>
      <c r="N11" s="13" t="n">
        <v>46177</v>
      </c>
      <c r="O11" s="6" t="n">
        <v>1</v>
      </c>
      <c r="P11" s="6" t="s">
        <v>134</v>
      </c>
      <c r="Q11" s="8" t="n">
        <v>1830</v>
      </c>
      <c r="R11" s="6" t="s">
        <v>135</v>
      </c>
      <c r="S11" s="8" t="n">
        <f aca="false">IF(Q11="","",IF(R11="EUR",ROUND(Q11*Параметры!$B$3,0),Q11))</f>
        <v>36855</v>
      </c>
      <c r="T11" s="6" t="s">
        <v>90</v>
      </c>
      <c r="U11" s="6" t="s">
        <v>136</v>
      </c>
      <c r="V11" s="13"/>
      <c r="W11" s="6" t="n">
        <f aca="false">IF(T11="Оплачено",1,0)</f>
        <v>0</v>
      </c>
      <c r="X11" s="6" t="n">
        <f aca="false">IF(OR(T11="Не дозвонились",Y11=0),0,1)</f>
        <v>1</v>
      </c>
      <c r="Y11" s="6" t="n">
        <v>1</v>
      </c>
      <c r="Z11" s="6"/>
      <c r="AA11" s="6" t="s">
        <v>137</v>
      </c>
      <c r="AB11" s="6"/>
    </row>
    <row r="12" customFormat="false" ht="15" hidden="false" customHeight="false" outlineLevel="0" collapsed="false">
      <c r="A12" s="6" t="n">
        <v>11</v>
      </c>
      <c r="B12" s="6" t="s">
        <v>29</v>
      </c>
      <c r="C12" s="6" t="s">
        <v>138</v>
      </c>
      <c r="D12" s="13" t="n">
        <v>46176</v>
      </c>
      <c r="E12" s="6" t="n">
        <f aca="false">MONTH(D12)</f>
        <v>6</v>
      </c>
      <c r="F12" s="6" t="s">
        <v>139</v>
      </c>
      <c r="G12" s="6" t="s">
        <v>140</v>
      </c>
      <c r="H12" s="6" t="s">
        <v>141</v>
      </c>
      <c r="I12" s="6" t="s">
        <v>35</v>
      </c>
      <c r="J12" s="6" t="s">
        <v>142</v>
      </c>
      <c r="K12" s="6" t="s">
        <v>143</v>
      </c>
      <c r="L12" s="13"/>
      <c r="M12" s="6" t="n">
        <v>0</v>
      </c>
      <c r="N12" s="13"/>
      <c r="O12" s="6" t="n">
        <v>0</v>
      </c>
      <c r="P12" s="6"/>
      <c r="Q12" s="8"/>
      <c r="R12" s="6"/>
      <c r="S12" s="8" t="str">
        <f aca="false">IF(Q12="","",IF(R12="EUR",ROUND(Q12*Параметры!$B$3,0),Q12))</f>
        <v/>
      </c>
      <c r="T12" s="6" t="s">
        <v>80</v>
      </c>
      <c r="U12" s="6" t="s">
        <v>117</v>
      </c>
      <c r="V12" s="13"/>
      <c r="W12" s="6" t="n">
        <f aca="false">IF(T12="Оплачено",1,0)</f>
        <v>0</v>
      </c>
      <c r="X12" s="6" t="n">
        <f aca="false">IF(OR(T12="Не дозвонились",Y12=0),0,1)</f>
        <v>0</v>
      </c>
      <c r="Y12" s="6" t="n">
        <v>1</v>
      </c>
      <c r="Z12" s="6"/>
      <c r="AA12" s="6"/>
      <c r="AB12" s="6"/>
    </row>
    <row r="13" customFormat="false" ht="15" hidden="false" customHeight="false" outlineLevel="0" collapsed="false">
      <c r="A13" s="6" t="n">
        <v>12</v>
      </c>
      <c r="B13" s="6" t="s">
        <v>30</v>
      </c>
      <c r="C13" s="6" t="s">
        <v>144</v>
      </c>
      <c r="D13" s="13" t="n">
        <v>46176</v>
      </c>
      <c r="E13" s="6" t="n">
        <f aca="false">MONTH(D13)</f>
        <v>6</v>
      </c>
      <c r="F13" s="6" t="s">
        <v>145</v>
      </c>
      <c r="G13" s="6" t="s">
        <v>146</v>
      </c>
      <c r="H13" s="6" t="s">
        <v>147</v>
      </c>
      <c r="I13" s="6" t="s">
        <v>35</v>
      </c>
      <c r="J13" s="6" t="s">
        <v>148</v>
      </c>
      <c r="K13" s="6" t="s">
        <v>149</v>
      </c>
      <c r="L13" s="13"/>
      <c r="M13" s="6" t="n">
        <v>0</v>
      </c>
      <c r="N13" s="13"/>
      <c r="O13" s="6" t="n">
        <v>0</v>
      </c>
      <c r="P13" s="6"/>
      <c r="Q13" s="8"/>
      <c r="R13" s="6"/>
      <c r="S13" s="8" t="str">
        <f aca="false">IF(Q13="","",IF(R13="EUR",ROUND(Q13*Параметры!$B$3,0),Q13))</f>
        <v/>
      </c>
      <c r="T13" s="6" t="s">
        <v>150</v>
      </c>
      <c r="U13" s="6" t="s">
        <v>151</v>
      </c>
      <c r="V13" s="13"/>
      <c r="W13" s="6" t="n">
        <f aca="false">IF(T13="Оплачено",1,0)</f>
        <v>0</v>
      </c>
      <c r="X13" s="6" t="n">
        <f aca="false">IF(OR(T13="Не дозвонились",Y13=0),0,1)</f>
        <v>1</v>
      </c>
      <c r="Y13" s="6" t="n">
        <v>1</v>
      </c>
      <c r="Z13" s="6"/>
      <c r="AA13" s="6"/>
      <c r="AB13" s="6"/>
    </row>
    <row r="14" customFormat="false" ht="15" hidden="false" customHeight="false" outlineLevel="0" collapsed="false">
      <c r="A14" s="6" t="n">
        <v>13</v>
      </c>
      <c r="B14" s="6" t="s">
        <v>28</v>
      </c>
      <c r="C14" s="6" t="s">
        <v>152</v>
      </c>
      <c r="D14" s="13" t="n">
        <v>46177</v>
      </c>
      <c r="E14" s="6" t="n">
        <f aca="false">MONTH(D14)</f>
        <v>6</v>
      </c>
      <c r="F14" s="6" t="s">
        <v>153</v>
      </c>
      <c r="G14" s="6" t="s">
        <v>154</v>
      </c>
      <c r="H14" s="6" t="s">
        <v>155</v>
      </c>
      <c r="I14" s="6" t="s">
        <v>36</v>
      </c>
      <c r="J14" s="6" t="s">
        <v>36</v>
      </c>
      <c r="K14" s="6" t="s">
        <v>156</v>
      </c>
      <c r="L14" s="13" t="n">
        <v>46179</v>
      </c>
      <c r="M14" s="6" t="n">
        <v>1</v>
      </c>
      <c r="N14" s="13" t="n">
        <v>46180</v>
      </c>
      <c r="O14" s="6" t="n">
        <v>1</v>
      </c>
      <c r="P14" s="6" t="s">
        <v>157</v>
      </c>
      <c r="Q14" s="8" t="n">
        <v>21200</v>
      </c>
      <c r="R14" s="6" t="s">
        <v>89</v>
      </c>
      <c r="S14" s="8" t="n">
        <f aca="false">IF(Q14="","",IF(R14="EUR",ROUND(Q14*Параметры!$B$3,0),Q14))</f>
        <v>21200</v>
      </c>
      <c r="T14" s="6" t="s">
        <v>15</v>
      </c>
      <c r="U14" s="6" t="s">
        <v>15</v>
      </c>
      <c r="V14" s="13" t="n">
        <v>46182</v>
      </c>
      <c r="W14" s="6" t="n">
        <f aca="false">IF(T14="Оплачено",1,0)</f>
        <v>1</v>
      </c>
      <c r="X14" s="6" t="n">
        <f aca="false">IF(OR(T14="Не дозвонились",Y14=0),0,1)</f>
        <v>1</v>
      </c>
      <c r="Y14" s="6" t="n">
        <v>1</v>
      </c>
      <c r="Z14" s="6"/>
      <c r="AA14" s="6"/>
      <c r="AB14" s="6"/>
    </row>
    <row r="15" customFormat="false" ht="15" hidden="false" customHeight="false" outlineLevel="0" collapsed="false">
      <c r="A15" s="6" t="n">
        <v>14</v>
      </c>
      <c r="B15" s="6" t="s">
        <v>28</v>
      </c>
      <c r="C15" s="6" t="s">
        <v>158</v>
      </c>
      <c r="D15" s="13" t="n">
        <v>46177</v>
      </c>
      <c r="E15" s="6" t="n">
        <f aca="false">MONTH(D15)</f>
        <v>6</v>
      </c>
      <c r="F15" s="6" t="s">
        <v>159</v>
      </c>
      <c r="G15" s="6" t="s">
        <v>160</v>
      </c>
      <c r="H15" s="6" t="s">
        <v>161</v>
      </c>
      <c r="I15" s="6" t="s">
        <v>39</v>
      </c>
      <c r="J15" s="6"/>
      <c r="K15" s="6" t="s">
        <v>162</v>
      </c>
      <c r="L15" s="13"/>
      <c r="M15" s="6" t="n">
        <v>0</v>
      </c>
      <c r="N15" s="13"/>
      <c r="O15" s="6" t="n">
        <v>0</v>
      </c>
      <c r="P15" s="6"/>
      <c r="Q15" s="8"/>
      <c r="R15" s="6"/>
      <c r="S15" s="8" t="str">
        <f aca="false">IF(Q15="","",IF(R15="EUR",ROUND(Q15*Параметры!$B$3,0),Q15))</f>
        <v/>
      </c>
      <c r="T15" s="6" t="s">
        <v>80</v>
      </c>
      <c r="U15" s="6" t="s">
        <v>163</v>
      </c>
      <c r="V15" s="13"/>
      <c r="W15" s="6" t="n">
        <f aca="false">IF(T15="Оплачено",1,0)</f>
        <v>0</v>
      </c>
      <c r="X15" s="6" t="n">
        <f aca="false">IF(OR(T15="Не дозвонились",Y15=0),0,1)</f>
        <v>0</v>
      </c>
      <c r="Y15" s="6" t="n">
        <v>1</v>
      </c>
      <c r="Z15" s="6"/>
      <c r="AA15" s="6"/>
      <c r="AB15" s="6"/>
    </row>
    <row r="16" customFormat="false" ht="15" hidden="false" customHeight="false" outlineLevel="0" collapsed="false">
      <c r="A16" s="6" t="n">
        <v>15</v>
      </c>
      <c r="B16" s="6" t="s">
        <v>29</v>
      </c>
      <c r="C16" s="6" t="s">
        <v>164</v>
      </c>
      <c r="D16" s="13" t="n">
        <v>46177</v>
      </c>
      <c r="E16" s="6" t="n">
        <f aca="false">MONTH(D16)</f>
        <v>6</v>
      </c>
      <c r="F16" s="6" t="s">
        <v>165</v>
      </c>
      <c r="G16" s="6" t="s">
        <v>166</v>
      </c>
      <c r="H16" s="6" t="s">
        <v>96</v>
      </c>
      <c r="I16" s="6" t="s">
        <v>34</v>
      </c>
      <c r="J16" s="6" t="s">
        <v>167</v>
      </c>
      <c r="K16" s="6" t="s">
        <v>168</v>
      </c>
      <c r="L16" s="13" t="n">
        <v>46181</v>
      </c>
      <c r="M16" s="6" t="n">
        <v>1</v>
      </c>
      <c r="N16" s="13" t="n">
        <v>46183</v>
      </c>
      <c r="O16" s="6" t="n">
        <v>1</v>
      </c>
      <c r="P16" s="6" t="s">
        <v>169</v>
      </c>
      <c r="Q16" s="8" t="n">
        <v>17500</v>
      </c>
      <c r="R16" s="6" t="s">
        <v>89</v>
      </c>
      <c r="S16" s="8" t="n">
        <f aca="false">IF(Q16="","",IF(R16="EUR",ROUND(Q16*Параметры!$B$3,0),Q16))</f>
        <v>17500</v>
      </c>
      <c r="T16" s="6" t="s">
        <v>71</v>
      </c>
      <c r="U16" s="6" t="s">
        <v>72</v>
      </c>
      <c r="V16" s="13"/>
      <c r="W16" s="6" t="n">
        <f aca="false">IF(T16="Оплачено",1,0)</f>
        <v>0</v>
      </c>
      <c r="X16" s="6" t="n">
        <f aca="false">IF(OR(T16="Не дозвонились",Y16=0),0,1)</f>
        <v>1</v>
      </c>
      <c r="Y16" s="6" t="n">
        <v>1</v>
      </c>
      <c r="Z16" s="6"/>
      <c r="AA16" s="6"/>
      <c r="AB16" s="6" t="s">
        <v>170</v>
      </c>
    </row>
    <row r="17" customFormat="false" ht="15" hidden="false" customHeight="false" outlineLevel="0" collapsed="false">
      <c r="A17" s="6" t="n">
        <v>16</v>
      </c>
      <c r="B17" s="6" t="s">
        <v>29</v>
      </c>
      <c r="C17" s="6" t="s">
        <v>171</v>
      </c>
      <c r="D17" s="13" t="n">
        <v>46177</v>
      </c>
      <c r="E17" s="6" t="n">
        <f aca="false">MONTH(D17)</f>
        <v>6</v>
      </c>
      <c r="F17" s="6" t="s">
        <v>172</v>
      </c>
      <c r="G17" s="6" t="s">
        <v>173</v>
      </c>
      <c r="H17" s="6" t="s">
        <v>68</v>
      </c>
      <c r="I17" s="6" t="s">
        <v>38</v>
      </c>
      <c r="J17" s="6" t="s">
        <v>174</v>
      </c>
      <c r="K17" s="6" t="s">
        <v>175</v>
      </c>
      <c r="L17" s="13" t="n">
        <v>46182</v>
      </c>
      <c r="M17" s="6" t="n">
        <v>1</v>
      </c>
      <c r="N17" s="13"/>
      <c r="O17" s="6" t="n">
        <v>0</v>
      </c>
      <c r="P17" s="6"/>
      <c r="Q17" s="8"/>
      <c r="R17" s="6"/>
      <c r="S17" s="8" t="str">
        <f aca="false">IF(Q17="","",IF(R17="EUR",ROUND(Q17*Параметры!$B$3,0),Q17))</f>
        <v/>
      </c>
      <c r="T17" s="6" t="s">
        <v>71</v>
      </c>
      <c r="U17" s="6" t="s">
        <v>72</v>
      </c>
      <c r="V17" s="13"/>
      <c r="W17" s="6" t="n">
        <f aca="false">IF(T17="Оплачено",1,0)</f>
        <v>0</v>
      </c>
      <c r="X17" s="6" t="n">
        <f aca="false">IF(OR(T17="Не дозвонились",Y17=0),0,1)</f>
        <v>1</v>
      </c>
      <c r="Y17" s="6" t="n">
        <v>1</v>
      </c>
      <c r="Z17" s="6"/>
      <c r="AA17" s="6"/>
      <c r="AB17" s="6"/>
    </row>
    <row r="18" customFormat="false" ht="15" hidden="false" customHeight="false" outlineLevel="0" collapsed="false">
      <c r="A18" s="6" t="n">
        <v>17</v>
      </c>
      <c r="B18" s="6" t="s">
        <v>30</v>
      </c>
      <c r="C18" s="6" t="s">
        <v>176</v>
      </c>
      <c r="D18" s="13" t="n">
        <v>46177</v>
      </c>
      <c r="E18" s="6" t="n">
        <f aca="false">MONTH(D18)</f>
        <v>6</v>
      </c>
      <c r="F18" s="6" t="s">
        <v>177</v>
      </c>
      <c r="G18" s="6" t="s">
        <v>178</v>
      </c>
      <c r="H18" s="6" t="s">
        <v>96</v>
      </c>
      <c r="I18" s="6" t="s">
        <v>34</v>
      </c>
      <c r="J18" s="6" t="s">
        <v>132</v>
      </c>
      <c r="K18" s="6" t="s">
        <v>179</v>
      </c>
      <c r="L18" s="13"/>
      <c r="M18" s="6" t="n">
        <v>0</v>
      </c>
      <c r="N18" s="13"/>
      <c r="O18" s="6" t="n">
        <v>0</v>
      </c>
      <c r="P18" s="6"/>
      <c r="Q18" s="8"/>
      <c r="R18" s="6"/>
      <c r="S18" s="8" t="str">
        <f aca="false">IF(Q18="","",IF(R18="EUR",ROUND(Q18*Параметры!$B$3,0),Q18))</f>
        <v/>
      </c>
      <c r="T18" s="6" t="s">
        <v>71</v>
      </c>
      <c r="U18" s="6" t="s">
        <v>72</v>
      </c>
      <c r="V18" s="13"/>
      <c r="W18" s="6" t="n">
        <f aca="false">IF(T18="Оплачено",1,0)</f>
        <v>0</v>
      </c>
      <c r="X18" s="6" t="n">
        <f aca="false">IF(OR(T18="Не дозвонились",Y18=0),0,1)</f>
        <v>1</v>
      </c>
      <c r="Y18" s="6" t="n">
        <v>1</v>
      </c>
      <c r="Z18" s="6"/>
      <c r="AA18" s="6"/>
      <c r="AB18" s="6" t="s">
        <v>180</v>
      </c>
    </row>
    <row r="19" customFormat="false" ht="15" hidden="false" customHeight="false" outlineLevel="0" collapsed="false">
      <c r="A19" s="6" t="n">
        <v>18</v>
      </c>
      <c r="B19" s="6" t="s">
        <v>30</v>
      </c>
      <c r="C19" s="6" t="s">
        <v>181</v>
      </c>
      <c r="D19" s="13" t="n">
        <v>46177</v>
      </c>
      <c r="E19" s="6" t="n">
        <f aca="false">MONTH(D19)</f>
        <v>6</v>
      </c>
      <c r="F19" s="6" t="s">
        <v>182</v>
      </c>
      <c r="G19" s="6" t="s">
        <v>183</v>
      </c>
      <c r="H19" s="6" t="s">
        <v>184</v>
      </c>
      <c r="I19" s="6" t="s">
        <v>37</v>
      </c>
      <c r="J19" s="6" t="s">
        <v>185</v>
      </c>
      <c r="K19" s="6" t="s">
        <v>79</v>
      </c>
      <c r="L19" s="13" t="n">
        <v>46178</v>
      </c>
      <c r="M19" s="6" t="n">
        <v>1</v>
      </c>
      <c r="N19" s="13" t="n">
        <v>46179</v>
      </c>
      <c r="O19" s="6" t="n">
        <v>1</v>
      </c>
      <c r="P19" s="6" t="s">
        <v>186</v>
      </c>
      <c r="Q19" s="8" t="n">
        <v>21500</v>
      </c>
      <c r="R19" s="6" t="s">
        <v>89</v>
      </c>
      <c r="S19" s="8" t="n">
        <f aca="false">IF(Q19="","",IF(R19="EUR",ROUND(Q19*Параметры!$B$3,0),Q19))</f>
        <v>21500</v>
      </c>
      <c r="T19" s="6" t="s">
        <v>15</v>
      </c>
      <c r="U19" s="6" t="s">
        <v>187</v>
      </c>
      <c r="V19" s="13" t="n">
        <v>46195</v>
      </c>
      <c r="W19" s="6" t="n">
        <f aca="false">IF(T19="Оплачено",1,0)</f>
        <v>1</v>
      </c>
      <c r="X19" s="6" t="n">
        <f aca="false">IF(OR(T19="Не дозвонились",Y19=0),0,1)</f>
        <v>1</v>
      </c>
      <c r="Y19" s="6" t="n">
        <v>1</v>
      </c>
      <c r="Z19" s="6"/>
      <c r="AA19" s="6"/>
      <c r="AB19" s="6"/>
    </row>
    <row r="20" customFormat="false" ht="15" hidden="false" customHeight="false" outlineLevel="0" collapsed="false">
      <c r="A20" s="6" t="n">
        <v>19</v>
      </c>
      <c r="B20" s="6" t="s">
        <v>28</v>
      </c>
      <c r="C20" s="6" t="s">
        <v>188</v>
      </c>
      <c r="D20" s="13" t="n">
        <v>46178</v>
      </c>
      <c r="E20" s="6" t="n">
        <f aca="false">MONTH(D20)</f>
        <v>6</v>
      </c>
      <c r="F20" s="6" t="s">
        <v>189</v>
      </c>
      <c r="G20" s="6" t="s">
        <v>190</v>
      </c>
      <c r="H20" s="6" t="s">
        <v>191</v>
      </c>
      <c r="I20" s="6" t="s">
        <v>38</v>
      </c>
      <c r="J20" s="6" t="s">
        <v>38</v>
      </c>
      <c r="K20" s="6" t="s">
        <v>98</v>
      </c>
      <c r="L20" s="13" t="n">
        <v>46184</v>
      </c>
      <c r="M20" s="6" t="n">
        <v>1</v>
      </c>
      <c r="N20" s="13" t="n">
        <v>46185</v>
      </c>
      <c r="O20" s="6" t="n">
        <v>1</v>
      </c>
      <c r="P20" s="6" t="s">
        <v>192</v>
      </c>
      <c r="Q20" s="8" t="n">
        <v>66900</v>
      </c>
      <c r="R20" s="6" t="s">
        <v>89</v>
      </c>
      <c r="S20" s="8" t="n">
        <f aca="false">IF(Q20="","",IF(R20="EUR",ROUND(Q20*Параметры!$B$3,0),Q20))</f>
        <v>66900</v>
      </c>
      <c r="T20" s="6" t="s">
        <v>71</v>
      </c>
      <c r="U20" s="6" t="s">
        <v>71</v>
      </c>
      <c r="V20" s="13"/>
      <c r="W20" s="6" t="n">
        <f aca="false">IF(T20="Оплачено",1,0)</f>
        <v>0</v>
      </c>
      <c r="X20" s="6" t="n">
        <f aca="false">IF(OR(T20="Не дозвонились",Y20=0),0,1)</f>
        <v>1</v>
      </c>
      <c r="Y20" s="6" t="n">
        <v>1</v>
      </c>
      <c r="Z20" s="6"/>
      <c r="AA20" s="6"/>
      <c r="AB20" s="6" t="s">
        <v>193</v>
      </c>
    </row>
    <row r="21" customFormat="false" ht="15" hidden="false" customHeight="false" outlineLevel="0" collapsed="false">
      <c r="A21" s="6" t="n">
        <v>20</v>
      </c>
      <c r="B21" s="6" t="s">
        <v>28</v>
      </c>
      <c r="C21" s="6" t="s">
        <v>194</v>
      </c>
      <c r="D21" s="13" t="n">
        <v>46178</v>
      </c>
      <c r="E21" s="6" t="n">
        <f aca="false">MONTH(D21)</f>
        <v>6</v>
      </c>
      <c r="F21" s="6" t="s">
        <v>195</v>
      </c>
      <c r="G21" s="6" t="s">
        <v>196</v>
      </c>
      <c r="H21" s="6" t="s">
        <v>197</v>
      </c>
      <c r="I21" s="6" t="s">
        <v>34</v>
      </c>
      <c r="J21" s="6" t="s">
        <v>34</v>
      </c>
      <c r="K21" s="6" t="s">
        <v>198</v>
      </c>
      <c r="L21" s="13"/>
      <c r="M21" s="6" t="n">
        <v>0</v>
      </c>
      <c r="N21" s="13"/>
      <c r="O21" s="6" t="n">
        <v>0</v>
      </c>
      <c r="P21" s="6"/>
      <c r="Q21" s="8"/>
      <c r="R21" s="6"/>
      <c r="S21" s="8" t="str">
        <f aca="false">IF(Q21="","",IF(R21="EUR",ROUND(Q21*Параметры!$B$3,0),Q21))</f>
        <v/>
      </c>
      <c r="T21" s="6" t="s">
        <v>71</v>
      </c>
      <c r="U21" s="6" t="s">
        <v>71</v>
      </c>
      <c r="V21" s="13"/>
      <c r="W21" s="6" t="n">
        <f aca="false">IF(T21="Оплачено",1,0)</f>
        <v>0</v>
      </c>
      <c r="X21" s="6" t="n">
        <f aca="false">IF(OR(T21="Не дозвонились",Y21=0),0,1)</f>
        <v>1</v>
      </c>
      <c r="Y21" s="6" t="n">
        <v>1</v>
      </c>
      <c r="Z21" s="6"/>
      <c r="AA21" s="6"/>
      <c r="AB21" s="6"/>
    </row>
    <row r="22" customFormat="false" ht="15" hidden="false" customHeight="false" outlineLevel="0" collapsed="false">
      <c r="A22" s="6" t="n">
        <v>21</v>
      </c>
      <c r="B22" s="6" t="s">
        <v>28</v>
      </c>
      <c r="C22" s="6" t="s">
        <v>199</v>
      </c>
      <c r="D22" s="13" t="n">
        <v>46178</v>
      </c>
      <c r="E22" s="6" t="n">
        <f aca="false">MONTH(D22)</f>
        <v>6</v>
      </c>
      <c r="F22" s="6" t="s">
        <v>200</v>
      </c>
      <c r="G22" s="6" t="s">
        <v>201</v>
      </c>
      <c r="H22" s="6" t="s">
        <v>96</v>
      </c>
      <c r="I22" s="6" t="s">
        <v>36</v>
      </c>
      <c r="J22" s="6" t="s">
        <v>36</v>
      </c>
      <c r="K22" s="6" t="s">
        <v>202</v>
      </c>
      <c r="L22" s="13" t="n">
        <v>46183</v>
      </c>
      <c r="M22" s="6" t="n">
        <v>1</v>
      </c>
      <c r="N22" s="13" t="n">
        <v>46184</v>
      </c>
      <c r="O22" s="6" t="n">
        <v>1</v>
      </c>
      <c r="P22" s="6" t="s">
        <v>203</v>
      </c>
      <c r="Q22" s="8" t="n">
        <v>39300</v>
      </c>
      <c r="R22" s="6" t="s">
        <v>89</v>
      </c>
      <c r="S22" s="8" t="n">
        <f aca="false">IF(Q22="","",IF(R22="EUR",ROUND(Q22*Параметры!$B$3,0),Q22))</f>
        <v>39300</v>
      </c>
      <c r="T22" s="6" t="s">
        <v>71</v>
      </c>
      <c r="U22" s="6" t="s">
        <v>71</v>
      </c>
      <c r="V22" s="13"/>
      <c r="W22" s="6" t="n">
        <f aca="false">IF(T22="Оплачено",1,0)</f>
        <v>0</v>
      </c>
      <c r="X22" s="6" t="n">
        <f aca="false">IF(OR(T22="Не дозвонились",Y22=0),0,1)</f>
        <v>1</v>
      </c>
      <c r="Y22" s="6" t="n">
        <v>1</v>
      </c>
      <c r="Z22" s="6"/>
      <c r="AA22" s="6"/>
      <c r="AB22" s="6" t="s">
        <v>204</v>
      </c>
    </row>
    <row r="23" customFormat="false" ht="15" hidden="false" customHeight="false" outlineLevel="0" collapsed="false">
      <c r="A23" s="6" t="n">
        <v>22</v>
      </c>
      <c r="B23" s="6" t="s">
        <v>28</v>
      </c>
      <c r="C23" s="6" t="s">
        <v>205</v>
      </c>
      <c r="D23" s="13" t="n">
        <v>46178</v>
      </c>
      <c r="E23" s="6" t="n">
        <f aca="false">MONTH(D23)</f>
        <v>6</v>
      </c>
      <c r="F23" s="6" t="s">
        <v>206</v>
      </c>
      <c r="G23" s="6" t="s">
        <v>207</v>
      </c>
      <c r="H23" s="6" t="s">
        <v>208</v>
      </c>
      <c r="I23" s="6" t="s">
        <v>34</v>
      </c>
      <c r="J23" s="6" t="s">
        <v>34</v>
      </c>
      <c r="K23" s="6" t="s">
        <v>98</v>
      </c>
      <c r="L23" s="13"/>
      <c r="M23" s="6" t="n">
        <v>0</v>
      </c>
      <c r="N23" s="13"/>
      <c r="O23" s="6" t="n">
        <v>0</v>
      </c>
      <c r="P23" s="6"/>
      <c r="Q23" s="8"/>
      <c r="R23" s="6"/>
      <c r="S23" s="8" t="str">
        <f aca="false">IF(Q23="","",IF(R23="EUR",ROUND(Q23*Параметры!$B$3,0),Q23))</f>
        <v/>
      </c>
      <c r="T23" s="6" t="s">
        <v>71</v>
      </c>
      <c r="U23" s="6" t="s">
        <v>71</v>
      </c>
      <c r="V23" s="13"/>
      <c r="W23" s="6" t="n">
        <f aca="false">IF(T23="Оплачено",1,0)</f>
        <v>0</v>
      </c>
      <c r="X23" s="6" t="n">
        <f aca="false">IF(OR(T23="Не дозвонились",Y23=0),0,1)</f>
        <v>1</v>
      </c>
      <c r="Y23" s="6" t="n">
        <v>1</v>
      </c>
      <c r="Z23" s="6"/>
      <c r="AA23" s="6"/>
      <c r="AB23" s="6" t="s">
        <v>209</v>
      </c>
    </row>
    <row r="24" customFormat="false" ht="15" hidden="false" customHeight="false" outlineLevel="0" collapsed="false">
      <c r="A24" s="6" t="n">
        <v>23</v>
      </c>
      <c r="B24" s="6" t="s">
        <v>30</v>
      </c>
      <c r="C24" s="6" t="s">
        <v>210</v>
      </c>
      <c r="D24" s="13" t="n">
        <v>46178</v>
      </c>
      <c r="E24" s="6" t="n">
        <f aca="false">MONTH(D24)</f>
        <v>6</v>
      </c>
      <c r="F24" s="6" t="s">
        <v>211</v>
      </c>
      <c r="G24" s="6" t="s">
        <v>212</v>
      </c>
      <c r="H24" s="6" t="s">
        <v>213</v>
      </c>
      <c r="I24" s="6" t="s">
        <v>34</v>
      </c>
      <c r="J24" s="6" t="s">
        <v>214</v>
      </c>
      <c r="K24" s="6" t="s">
        <v>215</v>
      </c>
      <c r="L24" s="13"/>
      <c r="M24" s="6" t="n">
        <v>0</v>
      </c>
      <c r="N24" s="13"/>
      <c r="O24" s="6" t="n">
        <v>0</v>
      </c>
      <c r="P24" s="6"/>
      <c r="Q24" s="8"/>
      <c r="R24" s="6"/>
      <c r="S24" s="8" t="str">
        <f aca="false">IF(Q24="","",IF(R24="EUR",ROUND(Q24*Параметры!$B$3,0),Q24))</f>
        <v/>
      </c>
      <c r="T24" s="6" t="s">
        <v>80</v>
      </c>
      <c r="U24" s="6" t="s">
        <v>81</v>
      </c>
      <c r="V24" s="13"/>
      <c r="W24" s="6" t="n">
        <f aca="false">IF(T24="Оплачено",1,0)</f>
        <v>0</v>
      </c>
      <c r="X24" s="6" t="n">
        <f aca="false">IF(OR(T24="Не дозвонились",Y24=0),0,1)</f>
        <v>0</v>
      </c>
      <c r="Y24" s="6" t="n">
        <v>1</v>
      </c>
      <c r="Z24" s="6"/>
      <c r="AA24" s="6"/>
      <c r="AB24" s="6"/>
    </row>
    <row r="25" customFormat="false" ht="15" hidden="false" customHeight="false" outlineLevel="0" collapsed="false">
      <c r="A25" s="6" t="n">
        <v>24</v>
      </c>
      <c r="B25" s="6" t="s">
        <v>30</v>
      </c>
      <c r="C25" s="6" t="s">
        <v>216</v>
      </c>
      <c r="D25" s="13" t="n">
        <v>46178</v>
      </c>
      <c r="E25" s="6" t="n">
        <f aca="false">MONTH(D25)</f>
        <v>6</v>
      </c>
      <c r="F25" s="6" t="s">
        <v>217</v>
      </c>
      <c r="G25" s="6" t="s">
        <v>218</v>
      </c>
      <c r="H25" s="6" t="s">
        <v>155</v>
      </c>
      <c r="I25" s="6" t="s">
        <v>38</v>
      </c>
      <c r="J25" s="6" t="s">
        <v>219</v>
      </c>
      <c r="K25" s="6" t="s">
        <v>220</v>
      </c>
      <c r="L25" s="13"/>
      <c r="M25" s="6" t="n">
        <v>0</v>
      </c>
      <c r="N25" s="13"/>
      <c r="O25" s="6" t="n">
        <v>0</v>
      </c>
      <c r="P25" s="6"/>
      <c r="Q25" s="8"/>
      <c r="R25" s="6"/>
      <c r="S25" s="8" t="str">
        <f aca="false">IF(Q25="","",IF(R25="EUR",ROUND(Q25*Параметры!$B$3,0),Q25))</f>
        <v/>
      </c>
      <c r="T25" s="6" t="s">
        <v>150</v>
      </c>
      <c r="U25" s="6" t="s">
        <v>151</v>
      </c>
      <c r="V25" s="13"/>
      <c r="W25" s="6" t="n">
        <f aca="false">IF(T25="Оплачено",1,0)</f>
        <v>0</v>
      </c>
      <c r="X25" s="6" t="n">
        <f aca="false">IF(OR(T25="Не дозвонились",Y25=0),0,1)</f>
        <v>1</v>
      </c>
      <c r="Y25" s="6" t="n">
        <v>1</v>
      </c>
      <c r="Z25" s="6"/>
      <c r="AA25" s="6"/>
      <c r="AB25" s="6"/>
    </row>
    <row r="26" customFormat="false" ht="15" hidden="false" customHeight="false" outlineLevel="0" collapsed="false">
      <c r="A26" s="6" t="n">
        <v>25</v>
      </c>
      <c r="B26" s="6" t="s">
        <v>30</v>
      </c>
      <c r="C26" s="6" t="s">
        <v>221</v>
      </c>
      <c r="D26" s="13" t="n">
        <v>46178</v>
      </c>
      <c r="E26" s="6" t="n">
        <f aca="false">MONTH(D26)</f>
        <v>6</v>
      </c>
      <c r="F26" s="6" t="s">
        <v>222</v>
      </c>
      <c r="G26" s="6" t="s">
        <v>223</v>
      </c>
      <c r="H26" s="6" t="s">
        <v>147</v>
      </c>
      <c r="I26" s="6" t="s">
        <v>35</v>
      </c>
      <c r="J26" s="6" t="s">
        <v>142</v>
      </c>
      <c r="K26" s="6" t="s">
        <v>224</v>
      </c>
      <c r="L26" s="13"/>
      <c r="M26" s="6" t="n">
        <v>0</v>
      </c>
      <c r="N26" s="13"/>
      <c r="O26" s="6" t="n">
        <v>0</v>
      </c>
      <c r="P26" s="6"/>
      <c r="Q26" s="8"/>
      <c r="R26" s="6"/>
      <c r="S26" s="8" t="str">
        <f aca="false">IF(Q26="","",IF(R26="EUR",ROUND(Q26*Параметры!$B$3,0),Q26))</f>
        <v/>
      </c>
      <c r="T26" s="6" t="s">
        <v>71</v>
      </c>
      <c r="U26" s="6" t="s">
        <v>225</v>
      </c>
      <c r="V26" s="13"/>
      <c r="W26" s="6" t="n">
        <f aca="false">IF(T26="Оплачено",1,0)</f>
        <v>0</v>
      </c>
      <c r="X26" s="6" t="n">
        <f aca="false">IF(OR(T26="Не дозвонились",Y26=0),0,1)</f>
        <v>1</v>
      </c>
      <c r="Y26" s="6" t="n">
        <v>1</v>
      </c>
      <c r="Z26" s="6"/>
      <c r="AA26" s="6"/>
      <c r="AB26" s="6" t="s">
        <v>226</v>
      </c>
    </row>
    <row r="27" customFormat="false" ht="15" hidden="false" customHeight="false" outlineLevel="0" collapsed="false">
      <c r="A27" s="6" t="n">
        <v>26</v>
      </c>
      <c r="B27" s="6" t="s">
        <v>28</v>
      </c>
      <c r="C27" s="6" t="s">
        <v>227</v>
      </c>
      <c r="D27" s="13" t="n">
        <v>46179</v>
      </c>
      <c r="E27" s="6" t="n">
        <f aca="false">MONTH(D27)</f>
        <v>6</v>
      </c>
      <c r="F27" s="6" t="s">
        <v>228</v>
      </c>
      <c r="G27" s="6" t="s">
        <v>229</v>
      </c>
      <c r="H27" s="6" t="s">
        <v>197</v>
      </c>
      <c r="I27" s="6" t="s">
        <v>35</v>
      </c>
      <c r="J27" s="6" t="s">
        <v>35</v>
      </c>
      <c r="K27" s="6" t="s">
        <v>104</v>
      </c>
      <c r="L27" s="13"/>
      <c r="M27" s="6" t="n">
        <v>0</v>
      </c>
      <c r="N27" s="13"/>
      <c r="O27" s="6" t="n">
        <v>0</v>
      </c>
      <c r="P27" s="6"/>
      <c r="Q27" s="8"/>
      <c r="R27" s="6"/>
      <c r="S27" s="8" t="str">
        <f aca="false">IF(Q27="","",IF(R27="EUR",ROUND(Q27*Параметры!$B$3,0),Q27))</f>
        <v/>
      </c>
      <c r="T27" s="6" t="s">
        <v>71</v>
      </c>
      <c r="U27" s="6" t="s">
        <v>71</v>
      </c>
      <c r="V27" s="13"/>
      <c r="W27" s="6" t="n">
        <f aca="false">IF(T27="Оплачено",1,0)</f>
        <v>0</v>
      </c>
      <c r="X27" s="6" t="n">
        <f aca="false">IF(OR(T27="Не дозвонились",Y27=0),0,1)</f>
        <v>1</v>
      </c>
      <c r="Y27" s="6" t="n">
        <v>1</v>
      </c>
      <c r="Z27" s="6"/>
      <c r="AA27" s="6"/>
      <c r="AB27" s="6" t="s">
        <v>230</v>
      </c>
    </row>
    <row r="28" customFormat="false" ht="15" hidden="false" customHeight="false" outlineLevel="0" collapsed="false">
      <c r="A28" s="6" t="n">
        <v>27</v>
      </c>
      <c r="B28" s="6" t="s">
        <v>28</v>
      </c>
      <c r="C28" s="6" t="s">
        <v>231</v>
      </c>
      <c r="D28" s="13" t="n">
        <v>46179</v>
      </c>
      <c r="E28" s="6" t="n">
        <f aca="false">MONTH(D28)</f>
        <v>6</v>
      </c>
      <c r="F28" s="6" t="s">
        <v>232</v>
      </c>
      <c r="G28" s="6" t="s">
        <v>233</v>
      </c>
      <c r="H28" s="6" t="s">
        <v>184</v>
      </c>
      <c r="I28" s="6" t="s">
        <v>35</v>
      </c>
      <c r="J28" s="6" t="s">
        <v>35</v>
      </c>
      <c r="K28" s="6" t="s">
        <v>234</v>
      </c>
      <c r="L28" s="13"/>
      <c r="M28" s="6" t="n">
        <v>0</v>
      </c>
      <c r="N28" s="13"/>
      <c r="O28" s="6" t="n">
        <v>0</v>
      </c>
      <c r="P28" s="6"/>
      <c r="Q28" s="8"/>
      <c r="R28" s="6"/>
      <c r="S28" s="8" t="str">
        <f aca="false">IF(Q28="","",IF(R28="EUR",ROUND(Q28*Параметры!$B$3,0),Q28))</f>
        <v/>
      </c>
      <c r="T28" s="6" t="s">
        <v>71</v>
      </c>
      <c r="U28" s="6" t="s">
        <v>71</v>
      </c>
      <c r="V28" s="13"/>
      <c r="W28" s="6" t="n">
        <f aca="false">IF(T28="Оплачено",1,0)</f>
        <v>0</v>
      </c>
      <c r="X28" s="6" t="n">
        <f aca="false">IF(OR(T28="Не дозвонились",Y28=0),0,1)</f>
        <v>1</v>
      </c>
      <c r="Y28" s="6" t="n">
        <v>1</v>
      </c>
      <c r="Z28" s="6"/>
      <c r="AA28" s="6"/>
      <c r="AB28" s="6" t="s">
        <v>235</v>
      </c>
    </row>
    <row r="29" customFormat="false" ht="15" hidden="false" customHeight="false" outlineLevel="0" collapsed="false">
      <c r="A29" s="6" t="n">
        <v>28</v>
      </c>
      <c r="B29" s="6" t="s">
        <v>29</v>
      </c>
      <c r="C29" s="6" t="s">
        <v>236</v>
      </c>
      <c r="D29" s="13" t="n">
        <v>46179</v>
      </c>
      <c r="E29" s="6" t="n">
        <f aca="false">MONTH(D29)</f>
        <v>6</v>
      </c>
      <c r="F29" s="6" t="s">
        <v>237</v>
      </c>
      <c r="G29" s="6" t="s">
        <v>238</v>
      </c>
      <c r="H29" s="6" t="s">
        <v>114</v>
      </c>
      <c r="I29" s="6" t="s">
        <v>34</v>
      </c>
      <c r="J29" s="6" t="s">
        <v>34</v>
      </c>
      <c r="K29" s="6" t="s">
        <v>239</v>
      </c>
      <c r="L29" s="13"/>
      <c r="M29" s="6" t="n">
        <v>0</v>
      </c>
      <c r="N29" s="13"/>
      <c r="O29" s="6" t="n">
        <v>0</v>
      </c>
      <c r="P29" s="6"/>
      <c r="Q29" s="8"/>
      <c r="R29" s="6"/>
      <c r="S29" s="8" t="str">
        <f aca="false">IF(Q29="","",IF(R29="EUR",ROUND(Q29*Параметры!$B$3,0),Q29))</f>
        <v/>
      </c>
      <c r="T29" s="6" t="s">
        <v>80</v>
      </c>
      <c r="U29" s="6" t="s">
        <v>117</v>
      </c>
      <c r="V29" s="13"/>
      <c r="W29" s="6" t="n">
        <f aca="false">IF(T29="Оплачено",1,0)</f>
        <v>0</v>
      </c>
      <c r="X29" s="6" t="n">
        <f aca="false">IF(OR(T29="Не дозвонились",Y29=0),0,1)</f>
        <v>0</v>
      </c>
      <c r="Y29" s="6" t="n">
        <v>1</v>
      </c>
      <c r="Z29" s="6"/>
      <c r="AA29" s="6"/>
      <c r="AB29" s="6"/>
    </row>
    <row r="30" customFormat="false" ht="15" hidden="false" customHeight="false" outlineLevel="0" collapsed="false">
      <c r="A30" s="6" t="n">
        <v>29</v>
      </c>
      <c r="B30" s="6" t="s">
        <v>30</v>
      </c>
      <c r="C30" s="6" t="s">
        <v>240</v>
      </c>
      <c r="D30" s="13" t="n">
        <v>46179</v>
      </c>
      <c r="E30" s="6" t="n">
        <f aca="false">MONTH(D30)</f>
        <v>6</v>
      </c>
      <c r="F30" s="6" t="s">
        <v>241</v>
      </c>
      <c r="G30" s="6" t="s">
        <v>242</v>
      </c>
      <c r="H30" s="6" t="s">
        <v>243</v>
      </c>
      <c r="I30" s="6" t="s">
        <v>38</v>
      </c>
      <c r="J30" s="6" t="s">
        <v>244</v>
      </c>
      <c r="K30" s="6" t="s">
        <v>215</v>
      </c>
      <c r="L30" s="13" t="n">
        <v>46185</v>
      </c>
      <c r="M30" s="6" t="n">
        <v>1</v>
      </c>
      <c r="N30" s="13" t="n">
        <v>46194</v>
      </c>
      <c r="O30" s="6" t="n">
        <v>1</v>
      </c>
      <c r="P30" s="6" t="s">
        <v>245</v>
      </c>
      <c r="Q30" s="8" t="n">
        <v>20700</v>
      </c>
      <c r="R30" s="6" t="s">
        <v>89</v>
      </c>
      <c r="S30" s="8" t="n">
        <f aca="false">IF(Q30="","",IF(R30="EUR",ROUND(Q30*Параметры!$B$3,0),Q30))</f>
        <v>20700</v>
      </c>
      <c r="T30" s="6" t="s">
        <v>71</v>
      </c>
      <c r="U30" s="6" t="s">
        <v>225</v>
      </c>
      <c r="V30" s="13"/>
      <c r="W30" s="6" t="n">
        <f aca="false">IF(T30="Оплачено",1,0)</f>
        <v>0</v>
      </c>
      <c r="X30" s="6" t="n">
        <f aca="false">IF(OR(T30="Не дозвонились",Y30=0),0,1)</f>
        <v>1</v>
      </c>
      <c r="Y30" s="6" t="n">
        <v>1</v>
      </c>
      <c r="Z30" s="6"/>
      <c r="AA30" s="6"/>
      <c r="AB30" s="6" t="s">
        <v>246</v>
      </c>
    </row>
    <row r="31" customFormat="false" ht="15" hidden="false" customHeight="false" outlineLevel="0" collapsed="false">
      <c r="A31" s="6" t="n">
        <v>30</v>
      </c>
      <c r="B31" s="6" t="s">
        <v>28</v>
      </c>
      <c r="C31" s="6" t="s">
        <v>247</v>
      </c>
      <c r="D31" s="13" t="n">
        <v>46180</v>
      </c>
      <c r="E31" s="6" t="n">
        <f aca="false">MONTH(D31)</f>
        <v>6</v>
      </c>
      <c r="F31" s="6" t="s">
        <v>248</v>
      </c>
      <c r="G31" s="6" t="s">
        <v>249</v>
      </c>
      <c r="H31" s="6" t="s">
        <v>96</v>
      </c>
      <c r="I31" s="6" t="s">
        <v>35</v>
      </c>
      <c r="J31" s="6" t="s">
        <v>35</v>
      </c>
      <c r="K31" s="6" t="s">
        <v>202</v>
      </c>
      <c r="L31" s="13"/>
      <c r="M31" s="6" t="n">
        <v>0</v>
      </c>
      <c r="N31" s="13"/>
      <c r="O31" s="6" t="n">
        <v>0</v>
      </c>
      <c r="P31" s="6"/>
      <c r="Q31" s="8"/>
      <c r="R31" s="6"/>
      <c r="S31" s="8" t="str">
        <f aca="false">IF(Q31="","",IF(R31="EUR",ROUND(Q31*Параметры!$B$3,0),Q31))</f>
        <v/>
      </c>
      <c r="T31" s="6" t="s">
        <v>71</v>
      </c>
      <c r="U31" s="6" t="s">
        <v>71</v>
      </c>
      <c r="V31" s="13"/>
      <c r="W31" s="6" t="n">
        <f aca="false">IF(T31="Оплачено",1,0)</f>
        <v>0</v>
      </c>
      <c r="X31" s="6" t="n">
        <f aca="false">IF(OR(T31="Не дозвонились",Y31=0),0,1)</f>
        <v>1</v>
      </c>
      <c r="Y31" s="6" t="n">
        <v>1</v>
      </c>
      <c r="Z31" s="6"/>
      <c r="AA31" s="6"/>
      <c r="AB31" s="6"/>
    </row>
    <row r="32" customFormat="false" ht="15" hidden="false" customHeight="false" outlineLevel="0" collapsed="false">
      <c r="A32" s="6" t="n">
        <v>31</v>
      </c>
      <c r="B32" s="6" t="s">
        <v>28</v>
      </c>
      <c r="C32" s="6" t="s">
        <v>250</v>
      </c>
      <c r="D32" s="13" t="n">
        <v>46180</v>
      </c>
      <c r="E32" s="6" t="n">
        <f aca="false">MONTH(D32)</f>
        <v>6</v>
      </c>
      <c r="F32" s="6" t="s">
        <v>251</v>
      </c>
      <c r="G32" s="6" t="s">
        <v>252</v>
      </c>
      <c r="H32" s="6" t="s">
        <v>197</v>
      </c>
      <c r="I32" s="6" t="s">
        <v>36</v>
      </c>
      <c r="J32" s="6" t="s">
        <v>253</v>
      </c>
      <c r="K32" s="6" t="s">
        <v>104</v>
      </c>
      <c r="L32" s="13" t="n">
        <v>46182</v>
      </c>
      <c r="M32" s="6" t="n">
        <v>1</v>
      </c>
      <c r="N32" s="13"/>
      <c r="O32" s="6" t="n">
        <v>0</v>
      </c>
      <c r="P32" s="6"/>
      <c r="Q32" s="8"/>
      <c r="R32" s="6"/>
      <c r="S32" s="8" t="str">
        <f aca="false">IF(Q32="","",IF(R32="EUR",ROUND(Q32*Параметры!$B$3,0),Q32))</f>
        <v/>
      </c>
      <c r="T32" s="6" t="s">
        <v>71</v>
      </c>
      <c r="U32" s="6" t="s">
        <v>71</v>
      </c>
      <c r="V32" s="13"/>
      <c r="W32" s="6" t="n">
        <f aca="false">IF(T32="Оплачено",1,0)</f>
        <v>0</v>
      </c>
      <c r="X32" s="6" t="n">
        <f aca="false">IF(OR(T32="Не дозвонились",Y32=0),0,1)</f>
        <v>1</v>
      </c>
      <c r="Y32" s="6" t="n">
        <v>1</v>
      </c>
      <c r="Z32" s="6"/>
      <c r="AA32" s="6"/>
      <c r="AB32" s="6" t="s">
        <v>254</v>
      </c>
    </row>
    <row r="33" customFormat="false" ht="15" hidden="false" customHeight="false" outlineLevel="0" collapsed="false">
      <c r="A33" s="6" t="n">
        <v>32</v>
      </c>
      <c r="B33" s="6" t="s">
        <v>28</v>
      </c>
      <c r="C33" s="6" t="s">
        <v>255</v>
      </c>
      <c r="D33" s="13" t="n">
        <v>46181</v>
      </c>
      <c r="E33" s="6" t="n">
        <f aca="false">MONTH(D33)</f>
        <v>6</v>
      </c>
      <c r="F33" s="6" t="s">
        <v>256</v>
      </c>
      <c r="G33" s="6" t="s">
        <v>257</v>
      </c>
      <c r="H33" s="6" t="s">
        <v>197</v>
      </c>
      <c r="I33" s="6" t="s">
        <v>34</v>
      </c>
      <c r="J33" s="6" t="s">
        <v>97</v>
      </c>
      <c r="K33" s="6" t="s">
        <v>198</v>
      </c>
      <c r="L33" s="13" t="n">
        <v>46184</v>
      </c>
      <c r="M33" s="6" t="n">
        <v>1</v>
      </c>
      <c r="N33" s="13"/>
      <c r="O33" s="6" t="n">
        <v>0</v>
      </c>
      <c r="P33" s="6"/>
      <c r="Q33" s="8"/>
      <c r="R33" s="6"/>
      <c r="S33" s="8" t="str">
        <f aca="false">IF(Q33="","",IF(R33="EUR",ROUND(Q33*Параметры!$B$3,0),Q33))</f>
        <v/>
      </c>
      <c r="T33" s="6" t="s">
        <v>71</v>
      </c>
      <c r="U33" s="6" t="s">
        <v>71</v>
      </c>
      <c r="V33" s="13"/>
      <c r="W33" s="6" t="n">
        <f aca="false">IF(T33="Оплачено",1,0)</f>
        <v>0</v>
      </c>
      <c r="X33" s="6" t="n">
        <f aca="false">IF(OR(T33="Не дозвонились",Y33=0),0,1)</f>
        <v>1</v>
      </c>
      <c r="Y33" s="6" t="n">
        <v>1</v>
      </c>
      <c r="Z33" s="6"/>
      <c r="AA33" s="6"/>
      <c r="AB33" s="6" t="s">
        <v>258</v>
      </c>
    </row>
    <row r="34" customFormat="false" ht="15" hidden="false" customHeight="false" outlineLevel="0" collapsed="false">
      <c r="A34" s="6" t="n">
        <v>33</v>
      </c>
      <c r="B34" s="6" t="s">
        <v>28</v>
      </c>
      <c r="C34" s="6" t="s">
        <v>259</v>
      </c>
      <c r="D34" s="13" t="n">
        <v>46181</v>
      </c>
      <c r="E34" s="6" t="n">
        <f aca="false">MONTH(D34)</f>
        <v>6</v>
      </c>
      <c r="F34" s="6" t="s">
        <v>260</v>
      </c>
      <c r="G34" s="6" t="s">
        <v>261</v>
      </c>
      <c r="H34" s="6" t="s">
        <v>161</v>
      </c>
      <c r="I34" s="6" t="s">
        <v>36</v>
      </c>
      <c r="J34" s="6" t="s">
        <v>253</v>
      </c>
      <c r="K34" s="6" t="s">
        <v>156</v>
      </c>
      <c r="L34" s="13" t="n">
        <v>46185</v>
      </c>
      <c r="M34" s="6" t="n">
        <v>1</v>
      </c>
      <c r="N34" s="13" t="n">
        <v>46185</v>
      </c>
      <c r="O34" s="6" t="n">
        <v>1</v>
      </c>
      <c r="P34" s="6" t="s">
        <v>262</v>
      </c>
      <c r="Q34" s="8" t="n">
        <v>32400</v>
      </c>
      <c r="R34" s="6" t="s">
        <v>89</v>
      </c>
      <c r="S34" s="8" t="n">
        <f aca="false">IF(Q34="","",IF(R34="EUR",ROUND(Q34*Параметры!$B$3,0),Q34))</f>
        <v>32400</v>
      </c>
      <c r="T34" s="6" t="s">
        <v>15</v>
      </c>
      <c r="U34" s="6" t="s">
        <v>15</v>
      </c>
      <c r="V34" s="13" t="n">
        <v>46199</v>
      </c>
      <c r="W34" s="6" t="n">
        <f aca="false">IF(T34="Оплачено",1,0)</f>
        <v>1</v>
      </c>
      <c r="X34" s="6" t="n">
        <f aca="false">IF(OR(T34="Не дозвонились",Y34=0),0,1)</f>
        <v>1</v>
      </c>
      <c r="Y34" s="6" t="n">
        <v>1</v>
      </c>
      <c r="Z34" s="6"/>
      <c r="AA34" s="6"/>
      <c r="AB34" s="6" t="s">
        <v>106</v>
      </c>
    </row>
    <row r="35" customFormat="false" ht="15" hidden="false" customHeight="false" outlineLevel="0" collapsed="false">
      <c r="A35" s="6" t="n">
        <v>34</v>
      </c>
      <c r="B35" s="6" t="s">
        <v>29</v>
      </c>
      <c r="C35" s="6" t="s">
        <v>263</v>
      </c>
      <c r="D35" s="13" t="n">
        <v>46181</v>
      </c>
      <c r="E35" s="6" t="n">
        <f aca="false">MONTH(D35)</f>
        <v>6</v>
      </c>
      <c r="F35" s="6" t="s">
        <v>264</v>
      </c>
      <c r="G35" s="6" t="s">
        <v>265</v>
      </c>
      <c r="H35" s="6" t="s">
        <v>266</v>
      </c>
      <c r="I35" s="6" t="s">
        <v>35</v>
      </c>
      <c r="J35" s="6" t="s">
        <v>142</v>
      </c>
      <c r="K35" s="6" t="s">
        <v>267</v>
      </c>
      <c r="L35" s="13" t="n">
        <v>46186</v>
      </c>
      <c r="M35" s="6" t="n">
        <v>1</v>
      </c>
      <c r="N35" s="13" t="n">
        <v>46192</v>
      </c>
      <c r="O35" s="6" t="n">
        <v>1</v>
      </c>
      <c r="P35" s="6" t="s">
        <v>268</v>
      </c>
      <c r="Q35" s="8" t="n">
        <v>4170</v>
      </c>
      <c r="R35" s="6" t="s">
        <v>135</v>
      </c>
      <c r="S35" s="8" t="n">
        <f aca="false">IF(Q35="","",IF(R35="EUR",ROUND(Q35*Параметры!$B$3,0),Q35))</f>
        <v>83982</v>
      </c>
      <c r="T35" s="6" t="s">
        <v>90</v>
      </c>
      <c r="U35" s="6" t="s">
        <v>123</v>
      </c>
      <c r="V35" s="13"/>
      <c r="W35" s="6" t="n">
        <f aca="false">IF(T35="Оплачено",1,0)</f>
        <v>0</v>
      </c>
      <c r="X35" s="6" t="n">
        <f aca="false">IF(OR(T35="Не дозвонились",Y35=0),0,1)</f>
        <v>1</v>
      </c>
      <c r="Y35" s="6" t="n">
        <v>1</v>
      </c>
      <c r="Z35" s="6"/>
      <c r="AA35" s="6" t="s">
        <v>269</v>
      </c>
      <c r="AB35" s="6"/>
    </row>
    <row r="36" customFormat="false" ht="15" hidden="false" customHeight="false" outlineLevel="0" collapsed="false">
      <c r="A36" s="6" t="n">
        <v>35</v>
      </c>
      <c r="B36" s="6" t="s">
        <v>30</v>
      </c>
      <c r="C36" s="6" t="s">
        <v>270</v>
      </c>
      <c r="D36" s="13" t="n">
        <v>46181</v>
      </c>
      <c r="E36" s="6" t="n">
        <f aca="false">MONTH(D36)</f>
        <v>6</v>
      </c>
      <c r="F36" s="6" t="s">
        <v>271</v>
      </c>
      <c r="G36" s="6" t="s">
        <v>272</v>
      </c>
      <c r="H36" s="6" t="s">
        <v>213</v>
      </c>
      <c r="I36" s="6" t="s">
        <v>34</v>
      </c>
      <c r="J36" s="6" t="s">
        <v>273</v>
      </c>
      <c r="K36" s="6" t="s">
        <v>224</v>
      </c>
      <c r="L36" s="13"/>
      <c r="M36" s="6" t="n">
        <v>0</v>
      </c>
      <c r="N36" s="13"/>
      <c r="O36" s="6" t="n">
        <v>0</v>
      </c>
      <c r="P36" s="6"/>
      <c r="Q36" s="8"/>
      <c r="R36" s="6"/>
      <c r="S36" s="8" t="str">
        <f aca="false">IF(Q36="","",IF(R36="EUR",ROUND(Q36*Параметры!$B$3,0),Q36))</f>
        <v/>
      </c>
      <c r="T36" s="6" t="s">
        <v>71</v>
      </c>
      <c r="U36" s="6" t="s">
        <v>225</v>
      </c>
      <c r="V36" s="13"/>
      <c r="W36" s="6" t="n">
        <f aca="false">IF(T36="Оплачено",1,0)</f>
        <v>0</v>
      </c>
      <c r="X36" s="6" t="n">
        <f aca="false">IF(OR(T36="Не дозвонились",Y36=0),0,1)</f>
        <v>1</v>
      </c>
      <c r="Y36" s="6" t="n">
        <v>1</v>
      </c>
      <c r="Z36" s="6"/>
      <c r="AA36" s="6"/>
      <c r="AB36" s="6" t="s">
        <v>235</v>
      </c>
    </row>
    <row r="37" customFormat="false" ht="15" hidden="false" customHeight="false" outlineLevel="0" collapsed="false">
      <c r="A37" s="6" t="n">
        <v>36</v>
      </c>
      <c r="B37" s="6" t="s">
        <v>30</v>
      </c>
      <c r="C37" s="6" t="s">
        <v>274</v>
      </c>
      <c r="D37" s="13" t="n">
        <v>46181</v>
      </c>
      <c r="E37" s="6" t="n">
        <f aca="false">MONTH(D37)</f>
        <v>6</v>
      </c>
      <c r="F37" s="6" t="s">
        <v>275</v>
      </c>
      <c r="G37" s="6"/>
      <c r="H37" s="6" t="s">
        <v>147</v>
      </c>
      <c r="I37" s="6" t="s">
        <v>35</v>
      </c>
      <c r="J37" s="6" t="s">
        <v>276</v>
      </c>
      <c r="K37" s="6" t="s">
        <v>277</v>
      </c>
      <c r="L37" s="13"/>
      <c r="M37" s="6" t="n">
        <v>0</v>
      </c>
      <c r="N37" s="13"/>
      <c r="O37" s="6" t="n">
        <v>0</v>
      </c>
      <c r="P37" s="6"/>
      <c r="Q37" s="8"/>
      <c r="R37" s="6"/>
      <c r="S37" s="8" t="str">
        <f aca="false">IF(Q37="","",IF(R37="EUR",ROUND(Q37*Параметры!$B$3,0),Q37))</f>
        <v/>
      </c>
      <c r="T37" s="6" t="s">
        <v>150</v>
      </c>
      <c r="U37" s="6" t="s">
        <v>151</v>
      </c>
      <c r="V37" s="13"/>
      <c r="W37" s="6" t="n">
        <f aca="false">IF(T37="Оплачено",1,0)</f>
        <v>0</v>
      </c>
      <c r="X37" s="6" t="n">
        <f aca="false">IF(OR(T37="Не дозвонились",Y37=0),0,1)</f>
        <v>1</v>
      </c>
      <c r="Y37" s="6" t="n">
        <v>1</v>
      </c>
      <c r="Z37" s="6"/>
      <c r="AA37" s="6"/>
      <c r="AB37" s="6" t="s">
        <v>180</v>
      </c>
    </row>
    <row r="38" customFormat="false" ht="15" hidden="false" customHeight="false" outlineLevel="0" collapsed="false">
      <c r="A38" s="6" t="n">
        <v>37</v>
      </c>
      <c r="B38" s="6" t="s">
        <v>30</v>
      </c>
      <c r="C38" s="6" t="s">
        <v>278</v>
      </c>
      <c r="D38" s="13" t="n">
        <v>46182</v>
      </c>
      <c r="E38" s="6" t="n">
        <f aca="false">MONTH(D38)</f>
        <v>6</v>
      </c>
      <c r="F38" s="6" t="s">
        <v>279</v>
      </c>
      <c r="G38" s="6" t="s">
        <v>280</v>
      </c>
      <c r="H38" s="6" t="s">
        <v>243</v>
      </c>
      <c r="I38" s="6" t="s">
        <v>37</v>
      </c>
      <c r="J38" s="6" t="s">
        <v>185</v>
      </c>
      <c r="K38" s="6" t="s">
        <v>281</v>
      </c>
      <c r="L38" s="13"/>
      <c r="M38" s="6" t="n">
        <v>0</v>
      </c>
      <c r="N38" s="13"/>
      <c r="O38" s="6" t="n">
        <v>0</v>
      </c>
      <c r="P38" s="6"/>
      <c r="Q38" s="8"/>
      <c r="R38" s="6"/>
      <c r="S38" s="8" t="str">
        <f aca="false">IF(Q38="","",IF(R38="EUR",ROUND(Q38*Параметры!$B$3,0),Q38))</f>
        <v/>
      </c>
      <c r="T38" s="6" t="s">
        <v>80</v>
      </c>
      <c r="U38" s="6" t="s">
        <v>81</v>
      </c>
      <c r="V38" s="13"/>
      <c r="W38" s="6" t="n">
        <f aca="false">IF(T38="Оплачено",1,0)</f>
        <v>0</v>
      </c>
      <c r="X38" s="6" t="n">
        <f aca="false">IF(OR(T38="Не дозвонились",Y38=0),0,1)</f>
        <v>0</v>
      </c>
      <c r="Y38" s="6" t="n">
        <v>1</v>
      </c>
      <c r="Z38" s="6"/>
      <c r="AA38" s="6"/>
      <c r="AB38" s="6" t="s">
        <v>282</v>
      </c>
    </row>
    <row r="39" customFormat="false" ht="15" hidden="false" customHeight="false" outlineLevel="0" collapsed="false">
      <c r="A39" s="6" t="n">
        <v>38</v>
      </c>
      <c r="B39" s="6" t="s">
        <v>28</v>
      </c>
      <c r="C39" s="6" t="s">
        <v>283</v>
      </c>
      <c r="D39" s="13" t="n">
        <v>46183</v>
      </c>
      <c r="E39" s="6" t="n">
        <f aca="false">MONTH(D39)</f>
        <v>6</v>
      </c>
      <c r="F39" s="6" t="s">
        <v>284</v>
      </c>
      <c r="G39" s="6" t="s">
        <v>285</v>
      </c>
      <c r="H39" s="6" t="s">
        <v>286</v>
      </c>
      <c r="I39" s="6" t="s">
        <v>38</v>
      </c>
      <c r="J39" s="6" t="s">
        <v>38</v>
      </c>
      <c r="K39" s="6" t="s">
        <v>287</v>
      </c>
      <c r="L39" s="13"/>
      <c r="M39" s="6" t="n">
        <v>0</v>
      </c>
      <c r="N39" s="13"/>
      <c r="O39" s="6" t="n">
        <v>0</v>
      </c>
      <c r="P39" s="6"/>
      <c r="Q39" s="8"/>
      <c r="R39" s="6"/>
      <c r="S39" s="8" t="str">
        <f aca="false">IF(Q39="","",IF(R39="EUR",ROUND(Q39*Параметры!$B$3,0),Q39))</f>
        <v/>
      </c>
      <c r="T39" s="6" t="s">
        <v>71</v>
      </c>
      <c r="U39" s="6" t="s">
        <v>71</v>
      </c>
      <c r="V39" s="13"/>
      <c r="W39" s="6" t="n">
        <f aca="false">IF(T39="Оплачено",1,0)</f>
        <v>0</v>
      </c>
      <c r="X39" s="6" t="n">
        <f aca="false">IF(OR(T39="Не дозвонились",Y39=0),0,1)</f>
        <v>1</v>
      </c>
      <c r="Y39" s="6" t="n">
        <v>1</v>
      </c>
      <c r="Z39" s="6"/>
      <c r="AA39" s="6"/>
      <c r="AB39" s="6"/>
    </row>
    <row r="40" customFormat="false" ht="15" hidden="false" customHeight="false" outlineLevel="0" collapsed="false">
      <c r="A40" s="6" t="n">
        <v>39</v>
      </c>
      <c r="B40" s="6" t="s">
        <v>28</v>
      </c>
      <c r="C40" s="6" t="s">
        <v>288</v>
      </c>
      <c r="D40" s="13" t="n">
        <v>46183</v>
      </c>
      <c r="E40" s="6" t="n">
        <f aca="false">MONTH(D40)</f>
        <v>6</v>
      </c>
      <c r="F40" s="6" t="s">
        <v>289</v>
      </c>
      <c r="G40" s="6" t="s">
        <v>290</v>
      </c>
      <c r="H40" s="6" t="s">
        <v>161</v>
      </c>
      <c r="I40" s="6" t="s">
        <v>34</v>
      </c>
      <c r="J40" s="6" t="s">
        <v>34</v>
      </c>
      <c r="K40" s="6" t="s">
        <v>162</v>
      </c>
      <c r="L40" s="13"/>
      <c r="M40" s="6" t="n">
        <v>0</v>
      </c>
      <c r="N40" s="13"/>
      <c r="O40" s="6" t="n">
        <v>0</v>
      </c>
      <c r="P40" s="6"/>
      <c r="Q40" s="8"/>
      <c r="R40" s="6"/>
      <c r="S40" s="8" t="str">
        <f aca="false">IF(Q40="","",IF(R40="EUR",ROUND(Q40*Параметры!$B$3,0),Q40))</f>
        <v/>
      </c>
      <c r="T40" s="6" t="s">
        <v>80</v>
      </c>
      <c r="U40" s="6" t="s">
        <v>163</v>
      </c>
      <c r="V40" s="13"/>
      <c r="W40" s="6" t="n">
        <f aca="false">IF(T40="Оплачено",1,0)</f>
        <v>0</v>
      </c>
      <c r="X40" s="6" t="n">
        <f aca="false">IF(OR(T40="Не дозвонились",Y40=0),0,1)</f>
        <v>0</v>
      </c>
      <c r="Y40" s="6" t="n">
        <v>1</v>
      </c>
      <c r="Z40" s="6"/>
      <c r="AA40" s="6"/>
      <c r="AB40" s="6"/>
    </row>
    <row r="41" customFormat="false" ht="15" hidden="false" customHeight="false" outlineLevel="0" collapsed="false">
      <c r="A41" s="6" t="n">
        <v>40</v>
      </c>
      <c r="B41" s="6" t="s">
        <v>29</v>
      </c>
      <c r="C41" s="6" t="s">
        <v>291</v>
      </c>
      <c r="D41" s="13" t="n">
        <v>46183</v>
      </c>
      <c r="E41" s="6" t="n">
        <f aca="false">MONTH(D41)</f>
        <v>6</v>
      </c>
      <c r="F41" s="6" t="s">
        <v>292</v>
      </c>
      <c r="G41" s="6" t="s">
        <v>293</v>
      </c>
      <c r="H41" s="6" t="s">
        <v>294</v>
      </c>
      <c r="I41" s="6" t="s">
        <v>34</v>
      </c>
      <c r="J41" s="6" t="s">
        <v>34</v>
      </c>
      <c r="K41" s="6" t="s">
        <v>128</v>
      </c>
      <c r="L41" s="13" t="n">
        <v>46189</v>
      </c>
      <c r="M41" s="6" t="n">
        <v>1</v>
      </c>
      <c r="N41" s="13"/>
      <c r="O41" s="6" t="n">
        <v>0</v>
      </c>
      <c r="P41" s="6"/>
      <c r="Q41" s="8"/>
      <c r="R41" s="6"/>
      <c r="S41" s="8" t="str">
        <f aca="false">IF(Q41="","",IF(R41="EUR",ROUND(Q41*Параметры!$B$3,0),Q41))</f>
        <v/>
      </c>
      <c r="T41" s="6" t="s">
        <v>71</v>
      </c>
      <c r="U41" s="6" t="s">
        <v>72</v>
      </c>
      <c r="V41" s="13"/>
      <c r="W41" s="6" t="n">
        <f aca="false">IF(T41="Оплачено",1,0)</f>
        <v>0</v>
      </c>
      <c r="X41" s="6" t="n">
        <f aca="false">IF(OR(T41="Не дозвонились",Y41=0),0,1)</f>
        <v>1</v>
      </c>
      <c r="Y41" s="6" t="n">
        <v>1</v>
      </c>
      <c r="Z41" s="6"/>
      <c r="AA41" s="6"/>
      <c r="AB41" s="6" t="s">
        <v>258</v>
      </c>
    </row>
    <row r="42" customFormat="false" ht="15" hidden="false" customHeight="false" outlineLevel="0" collapsed="false">
      <c r="A42" s="6" t="n">
        <v>41</v>
      </c>
      <c r="B42" s="6" t="s">
        <v>29</v>
      </c>
      <c r="C42" s="6" t="s">
        <v>295</v>
      </c>
      <c r="D42" s="13" t="n">
        <v>46183</v>
      </c>
      <c r="E42" s="6" t="n">
        <f aca="false">MONTH(D42)</f>
        <v>6</v>
      </c>
      <c r="F42" s="6" t="s">
        <v>296</v>
      </c>
      <c r="G42" s="6" t="s">
        <v>297</v>
      </c>
      <c r="H42" s="6" t="s">
        <v>298</v>
      </c>
      <c r="I42" s="6" t="s">
        <v>34</v>
      </c>
      <c r="J42" s="6" t="s">
        <v>34</v>
      </c>
      <c r="K42" s="6" t="s">
        <v>299</v>
      </c>
      <c r="L42" s="13" t="n">
        <v>46185</v>
      </c>
      <c r="M42" s="6" t="n">
        <v>1</v>
      </c>
      <c r="N42" s="13" t="n">
        <v>46190</v>
      </c>
      <c r="O42" s="6" t="n">
        <v>1</v>
      </c>
      <c r="P42" s="6" t="s">
        <v>300</v>
      </c>
      <c r="Q42" s="8" t="n">
        <v>60400</v>
      </c>
      <c r="R42" s="6" t="s">
        <v>89</v>
      </c>
      <c r="S42" s="8" t="n">
        <f aca="false">IF(Q42="","",IF(R42="EUR",ROUND(Q42*Параметры!$B$3,0),Q42))</f>
        <v>60400</v>
      </c>
      <c r="T42" s="6" t="s">
        <v>71</v>
      </c>
      <c r="U42" s="6" t="s">
        <v>301</v>
      </c>
      <c r="V42" s="13"/>
      <c r="W42" s="6" t="n">
        <f aca="false">IF(T42="Оплачено",1,0)</f>
        <v>0</v>
      </c>
      <c r="X42" s="6" t="n">
        <f aca="false">IF(OR(T42="Не дозвонились",Y42=0),0,1)</f>
        <v>1</v>
      </c>
      <c r="Y42" s="6" t="n">
        <v>1</v>
      </c>
      <c r="Z42" s="6"/>
      <c r="AA42" s="6"/>
      <c r="AB42" s="6" t="s">
        <v>170</v>
      </c>
    </row>
    <row r="43" customFormat="false" ht="15" hidden="false" customHeight="false" outlineLevel="0" collapsed="false">
      <c r="A43" s="6" t="n">
        <v>42</v>
      </c>
      <c r="B43" s="6" t="s">
        <v>30</v>
      </c>
      <c r="C43" s="6" t="s">
        <v>302</v>
      </c>
      <c r="D43" s="13" t="n">
        <v>46183</v>
      </c>
      <c r="E43" s="6" t="n">
        <f aca="false">MONTH(D43)</f>
        <v>6</v>
      </c>
      <c r="F43" s="6" t="s">
        <v>303</v>
      </c>
      <c r="G43" s="6" t="s">
        <v>304</v>
      </c>
      <c r="H43" s="6" t="s">
        <v>96</v>
      </c>
      <c r="I43" s="6" t="s">
        <v>34</v>
      </c>
      <c r="J43" s="6" t="s">
        <v>273</v>
      </c>
      <c r="K43" s="6" t="s">
        <v>79</v>
      </c>
      <c r="L43" s="13"/>
      <c r="M43" s="6" t="n">
        <v>1</v>
      </c>
      <c r="N43" s="13" t="n">
        <v>46188</v>
      </c>
      <c r="O43" s="6" t="n">
        <v>1</v>
      </c>
      <c r="P43" s="6" t="s">
        <v>305</v>
      </c>
      <c r="Q43" s="8" t="n">
        <v>15000</v>
      </c>
      <c r="R43" s="6" t="s">
        <v>89</v>
      </c>
      <c r="S43" s="8" t="n">
        <f aca="false">IF(Q43="","",IF(R43="EUR",ROUND(Q43*Параметры!$B$3,0),Q43))</f>
        <v>15000</v>
      </c>
      <c r="T43" s="6" t="s">
        <v>90</v>
      </c>
      <c r="U43" s="6" t="s">
        <v>136</v>
      </c>
      <c r="V43" s="13"/>
      <c r="W43" s="6" t="n">
        <f aca="false">IF(T43="Оплачено",1,0)</f>
        <v>0</v>
      </c>
      <c r="X43" s="6" t="n">
        <f aca="false">IF(OR(T43="Не дозвонились",Y43=0),0,1)</f>
        <v>1</v>
      </c>
      <c r="Y43" s="6" t="n">
        <v>1</v>
      </c>
      <c r="Z43" s="6"/>
      <c r="AA43" s="6"/>
      <c r="AB43" s="6"/>
    </row>
    <row r="44" customFormat="false" ht="15" hidden="false" customHeight="false" outlineLevel="0" collapsed="false">
      <c r="A44" s="6" t="n">
        <v>43</v>
      </c>
      <c r="B44" s="6" t="s">
        <v>28</v>
      </c>
      <c r="C44" s="6" t="s">
        <v>306</v>
      </c>
      <c r="D44" s="13" t="n">
        <v>46184</v>
      </c>
      <c r="E44" s="6" t="n">
        <f aca="false">MONTH(D44)</f>
        <v>6</v>
      </c>
      <c r="F44" s="6" t="s">
        <v>307</v>
      </c>
      <c r="G44" s="6" t="s">
        <v>308</v>
      </c>
      <c r="H44" s="6" t="s">
        <v>309</v>
      </c>
      <c r="I44" s="6" t="s">
        <v>34</v>
      </c>
      <c r="J44" s="6" t="s">
        <v>34</v>
      </c>
      <c r="K44" s="6" t="s">
        <v>104</v>
      </c>
      <c r="L44" s="13"/>
      <c r="M44" s="6" t="n">
        <v>0</v>
      </c>
      <c r="N44" s="13"/>
      <c r="O44" s="6" t="n">
        <v>0</v>
      </c>
      <c r="P44" s="6"/>
      <c r="Q44" s="8"/>
      <c r="R44" s="6"/>
      <c r="S44" s="8" t="str">
        <f aca="false">IF(Q44="","",IF(R44="EUR",ROUND(Q44*Параметры!$B$3,0),Q44))</f>
        <v/>
      </c>
      <c r="T44" s="6" t="s">
        <v>71</v>
      </c>
      <c r="U44" s="6" t="s">
        <v>71</v>
      </c>
      <c r="V44" s="13"/>
      <c r="W44" s="6" t="n">
        <f aca="false">IF(T44="Оплачено",1,0)</f>
        <v>0</v>
      </c>
      <c r="X44" s="6" t="n">
        <f aca="false">IF(OR(T44="Не дозвонились",Y44=0),0,1)</f>
        <v>1</v>
      </c>
      <c r="Y44" s="6" t="n">
        <v>1</v>
      </c>
      <c r="Z44" s="6"/>
      <c r="AA44" s="6"/>
      <c r="AB44" s="6" t="s">
        <v>180</v>
      </c>
    </row>
    <row r="45" customFormat="false" ht="15" hidden="false" customHeight="false" outlineLevel="0" collapsed="false">
      <c r="A45" s="6" t="n">
        <v>44</v>
      </c>
      <c r="B45" s="6" t="s">
        <v>28</v>
      </c>
      <c r="C45" s="6" t="s">
        <v>310</v>
      </c>
      <c r="D45" s="13" t="n">
        <v>46184</v>
      </c>
      <c r="E45" s="6" t="n">
        <f aca="false">MONTH(D45)</f>
        <v>6</v>
      </c>
      <c r="F45" s="6" t="s">
        <v>311</v>
      </c>
      <c r="G45" s="6" t="s">
        <v>312</v>
      </c>
      <c r="H45" s="6" t="s">
        <v>103</v>
      </c>
      <c r="I45" s="6" t="s">
        <v>37</v>
      </c>
      <c r="J45" s="6" t="s">
        <v>313</v>
      </c>
      <c r="K45" s="6" t="s">
        <v>314</v>
      </c>
      <c r="L45" s="13"/>
      <c r="M45" s="6" t="n">
        <v>0</v>
      </c>
      <c r="N45" s="13"/>
      <c r="O45" s="6" t="n">
        <v>0</v>
      </c>
      <c r="P45" s="6"/>
      <c r="Q45" s="8"/>
      <c r="R45" s="6"/>
      <c r="S45" s="8" t="str">
        <f aca="false">IF(Q45="","",IF(R45="EUR",ROUND(Q45*Параметры!$B$3,0),Q45))</f>
        <v/>
      </c>
      <c r="T45" s="6" t="s">
        <v>80</v>
      </c>
      <c r="U45" s="6" t="s">
        <v>163</v>
      </c>
      <c r="V45" s="13"/>
      <c r="W45" s="6" t="n">
        <f aca="false">IF(T45="Оплачено",1,0)</f>
        <v>0</v>
      </c>
      <c r="X45" s="6" t="n">
        <f aca="false">IF(OR(T45="Не дозвонились",Y45=0),0,1)</f>
        <v>0</v>
      </c>
      <c r="Y45" s="6" t="n">
        <v>1</v>
      </c>
      <c r="Z45" s="6"/>
      <c r="AA45" s="6"/>
      <c r="AB45" s="6" t="s">
        <v>92</v>
      </c>
    </row>
    <row r="46" customFormat="false" ht="15" hidden="false" customHeight="false" outlineLevel="0" collapsed="false">
      <c r="A46" s="6" t="n">
        <v>45</v>
      </c>
      <c r="B46" s="6" t="s">
        <v>29</v>
      </c>
      <c r="C46" s="6" t="s">
        <v>315</v>
      </c>
      <c r="D46" s="13" t="n">
        <v>46184</v>
      </c>
      <c r="E46" s="6" t="n">
        <f aca="false">MONTH(D46)</f>
        <v>6</v>
      </c>
      <c r="F46" s="6" t="s">
        <v>316</v>
      </c>
      <c r="G46" s="6" t="s">
        <v>317</v>
      </c>
      <c r="H46" s="6" t="s">
        <v>96</v>
      </c>
      <c r="I46" s="6" t="s">
        <v>34</v>
      </c>
      <c r="J46" s="6" t="s">
        <v>34</v>
      </c>
      <c r="K46" s="6" t="s">
        <v>318</v>
      </c>
      <c r="L46" s="13"/>
      <c r="M46" s="6" t="n">
        <v>0</v>
      </c>
      <c r="N46" s="13"/>
      <c r="O46" s="6" t="n">
        <v>0</v>
      </c>
      <c r="P46" s="6"/>
      <c r="Q46" s="8"/>
      <c r="R46" s="6"/>
      <c r="S46" s="8" t="str">
        <f aca="false">IF(Q46="","",IF(R46="EUR",ROUND(Q46*Параметры!$B$3,0),Q46))</f>
        <v/>
      </c>
      <c r="T46" s="6" t="s">
        <v>80</v>
      </c>
      <c r="U46" s="6" t="s">
        <v>117</v>
      </c>
      <c r="V46" s="13"/>
      <c r="W46" s="6" t="n">
        <f aca="false">IF(T46="Оплачено",1,0)</f>
        <v>0</v>
      </c>
      <c r="X46" s="6" t="n">
        <f aca="false">IF(OR(T46="Не дозвонились",Y46=0),0,1)</f>
        <v>0</v>
      </c>
      <c r="Y46" s="6" t="n">
        <v>1</v>
      </c>
      <c r="Z46" s="6"/>
      <c r="AA46" s="6"/>
      <c r="AB46" s="6"/>
    </row>
    <row r="47" customFormat="false" ht="15" hidden="false" customHeight="false" outlineLevel="0" collapsed="false">
      <c r="A47" s="6" t="n">
        <v>46</v>
      </c>
      <c r="B47" s="6" t="s">
        <v>29</v>
      </c>
      <c r="C47" s="6" t="s">
        <v>319</v>
      </c>
      <c r="D47" s="13" t="n">
        <v>46184</v>
      </c>
      <c r="E47" s="6" t="n">
        <f aca="false">MONTH(D47)</f>
        <v>6</v>
      </c>
      <c r="F47" s="6" t="s">
        <v>320</v>
      </c>
      <c r="G47" s="6" t="s">
        <v>321</v>
      </c>
      <c r="H47" s="6" t="s">
        <v>121</v>
      </c>
      <c r="I47" s="6" t="s">
        <v>35</v>
      </c>
      <c r="J47" s="6" t="s">
        <v>142</v>
      </c>
      <c r="K47" s="6" t="s">
        <v>175</v>
      </c>
      <c r="L47" s="13"/>
      <c r="M47" s="6" t="n">
        <v>0</v>
      </c>
      <c r="N47" s="13"/>
      <c r="O47" s="6" t="n">
        <v>0</v>
      </c>
      <c r="P47" s="6"/>
      <c r="Q47" s="8"/>
      <c r="R47" s="6"/>
      <c r="S47" s="8" t="str">
        <f aca="false">IF(Q47="","",IF(R47="EUR",ROUND(Q47*Параметры!$B$3,0),Q47))</f>
        <v/>
      </c>
      <c r="T47" s="6" t="s">
        <v>80</v>
      </c>
      <c r="U47" s="6" t="s">
        <v>117</v>
      </c>
      <c r="V47" s="13"/>
      <c r="W47" s="6" t="n">
        <f aca="false">IF(T47="Оплачено",1,0)</f>
        <v>0</v>
      </c>
      <c r="X47" s="6" t="n">
        <f aca="false">IF(OR(T47="Не дозвонились",Y47=0),0,1)</f>
        <v>0</v>
      </c>
      <c r="Y47" s="6" t="n">
        <v>1</v>
      </c>
      <c r="Z47" s="6"/>
      <c r="AA47" s="6"/>
      <c r="AB47" s="6"/>
    </row>
    <row r="48" customFormat="false" ht="15" hidden="false" customHeight="false" outlineLevel="0" collapsed="false">
      <c r="A48" s="6" t="n">
        <v>47</v>
      </c>
      <c r="B48" s="6" t="s">
        <v>30</v>
      </c>
      <c r="C48" s="6" t="s">
        <v>322</v>
      </c>
      <c r="D48" s="13" t="n">
        <v>46184</v>
      </c>
      <c r="E48" s="6" t="n">
        <f aca="false">MONTH(D48)</f>
        <v>6</v>
      </c>
      <c r="F48" s="6" t="s">
        <v>279</v>
      </c>
      <c r="G48" s="6" t="s">
        <v>323</v>
      </c>
      <c r="H48" s="6" t="s">
        <v>324</v>
      </c>
      <c r="I48" s="6" t="s">
        <v>34</v>
      </c>
      <c r="J48" s="6" t="s">
        <v>214</v>
      </c>
      <c r="K48" s="6" t="s">
        <v>224</v>
      </c>
      <c r="L48" s="13"/>
      <c r="M48" s="6" t="n">
        <v>0</v>
      </c>
      <c r="N48" s="13"/>
      <c r="O48" s="6" t="n">
        <v>0</v>
      </c>
      <c r="P48" s="6"/>
      <c r="Q48" s="8"/>
      <c r="R48" s="6"/>
      <c r="S48" s="8" t="str">
        <f aca="false">IF(Q48="","",IF(R48="EUR",ROUND(Q48*Параметры!$B$3,0),Q48))</f>
        <v/>
      </c>
      <c r="T48" s="6" t="s">
        <v>150</v>
      </c>
      <c r="U48" s="6" t="s">
        <v>151</v>
      </c>
      <c r="V48" s="13"/>
      <c r="W48" s="6" t="n">
        <f aca="false">IF(T48="Оплачено",1,0)</f>
        <v>0</v>
      </c>
      <c r="X48" s="6" t="n">
        <f aca="false">IF(OR(T48="Не дозвонились",Y48=0),0,1)</f>
        <v>1</v>
      </c>
      <c r="Y48" s="6" t="n">
        <v>1</v>
      </c>
      <c r="Z48" s="6"/>
      <c r="AA48" s="6"/>
      <c r="AB48" s="6" t="s">
        <v>325</v>
      </c>
    </row>
    <row r="49" customFormat="false" ht="15" hidden="false" customHeight="false" outlineLevel="0" collapsed="false">
      <c r="A49" s="6" t="n">
        <v>48</v>
      </c>
      <c r="B49" s="6" t="s">
        <v>30</v>
      </c>
      <c r="C49" s="6" t="s">
        <v>326</v>
      </c>
      <c r="D49" s="13" t="n">
        <v>46184</v>
      </c>
      <c r="E49" s="6" t="n">
        <f aca="false">MONTH(D49)</f>
        <v>6</v>
      </c>
      <c r="F49" s="6" t="s">
        <v>327</v>
      </c>
      <c r="G49" s="6" t="s">
        <v>328</v>
      </c>
      <c r="H49" s="6" t="s">
        <v>155</v>
      </c>
      <c r="I49" s="6" t="s">
        <v>34</v>
      </c>
      <c r="J49" s="6" t="s">
        <v>132</v>
      </c>
      <c r="K49" s="6" t="s">
        <v>329</v>
      </c>
      <c r="L49" s="13"/>
      <c r="M49" s="6" t="n">
        <v>0</v>
      </c>
      <c r="N49" s="13"/>
      <c r="O49" s="6" t="n">
        <v>0</v>
      </c>
      <c r="P49" s="6"/>
      <c r="Q49" s="8"/>
      <c r="R49" s="6"/>
      <c r="S49" s="8" t="str">
        <f aca="false">IF(Q49="","",IF(R49="EUR",ROUND(Q49*Параметры!$B$3,0),Q49))</f>
        <v/>
      </c>
      <c r="T49" s="6" t="s">
        <v>150</v>
      </c>
      <c r="U49" s="6" t="s">
        <v>151</v>
      </c>
      <c r="V49" s="13"/>
      <c r="W49" s="6" t="n">
        <f aca="false">IF(T49="Оплачено",1,0)</f>
        <v>0</v>
      </c>
      <c r="X49" s="6" t="n">
        <f aca="false">IF(OR(T49="Не дозвонились",Y49=0),0,1)</f>
        <v>1</v>
      </c>
      <c r="Y49" s="6" t="n">
        <v>1</v>
      </c>
      <c r="Z49" s="6"/>
      <c r="AA49" s="6"/>
      <c r="AB49" s="6"/>
    </row>
    <row r="50" customFormat="false" ht="15" hidden="false" customHeight="false" outlineLevel="0" collapsed="false">
      <c r="A50" s="6" t="n">
        <v>49</v>
      </c>
      <c r="B50" s="6" t="s">
        <v>28</v>
      </c>
      <c r="C50" s="6" t="s">
        <v>330</v>
      </c>
      <c r="D50" s="13" t="n">
        <v>46185</v>
      </c>
      <c r="E50" s="6" t="n">
        <f aca="false">MONTH(D50)</f>
        <v>6</v>
      </c>
      <c r="F50" s="6" t="s">
        <v>331</v>
      </c>
      <c r="G50" s="6" t="s">
        <v>332</v>
      </c>
      <c r="H50" s="6" t="s">
        <v>161</v>
      </c>
      <c r="I50" s="6" t="s">
        <v>34</v>
      </c>
      <c r="J50" s="6" t="s">
        <v>34</v>
      </c>
      <c r="K50" s="6" t="s">
        <v>156</v>
      </c>
      <c r="L50" s="13"/>
      <c r="M50" s="6" t="n">
        <v>0</v>
      </c>
      <c r="N50" s="13"/>
      <c r="O50" s="6" t="n">
        <v>0</v>
      </c>
      <c r="P50" s="6"/>
      <c r="Q50" s="8"/>
      <c r="R50" s="6"/>
      <c r="S50" s="8" t="str">
        <f aca="false">IF(Q50="","",IF(R50="EUR",ROUND(Q50*Параметры!$B$3,0),Q50))</f>
        <v/>
      </c>
      <c r="T50" s="6" t="s">
        <v>71</v>
      </c>
      <c r="U50" s="6" t="s">
        <v>71</v>
      </c>
      <c r="V50" s="13"/>
      <c r="W50" s="6" t="n">
        <f aca="false">IF(T50="Оплачено",1,0)</f>
        <v>0</v>
      </c>
      <c r="X50" s="6" t="n">
        <f aca="false">IF(OR(T50="Не дозвонились",Y50=0),0,1)</f>
        <v>1</v>
      </c>
      <c r="Y50" s="6" t="n">
        <v>1</v>
      </c>
      <c r="Z50" s="6"/>
      <c r="AA50" s="6"/>
      <c r="AB50" s="6" t="s">
        <v>180</v>
      </c>
    </row>
    <row r="51" customFormat="false" ht="15" hidden="false" customHeight="false" outlineLevel="0" collapsed="false">
      <c r="A51" s="6" t="n">
        <v>50</v>
      </c>
      <c r="B51" s="6" t="s">
        <v>28</v>
      </c>
      <c r="C51" s="6" t="s">
        <v>333</v>
      </c>
      <c r="D51" s="13" t="n">
        <v>46185</v>
      </c>
      <c r="E51" s="6" t="n">
        <f aca="false">MONTH(D51)</f>
        <v>6</v>
      </c>
      <c r="F51" s="6" t="s">
        <v>334</v>
      </c>
      <c r="G51" s="6" t="s">
        <v>335</v>
      </c>
      <c r="H51" s="6" t="s">
        <v>197</v>
      </c>
      <c r="I51" s="6" t="s">
        <v>36</v>
      </c>
      <c r="J51" s="6" t="s">
        <v>36</v>
      </c>
      <c r="K51" s="6" t="s">
        <v>202</v>
      </c>
      <c r="L51" s="13"/>
      <c r="M51" s="6" t="n">
        <v>0</v>
      </c>
      <c r="N51" s="13"/>
      <c r="O51" s="6" t="n">
        <v>0</v>
      </c>
      <c r="P51" s="6"/>
      <c r="Q51" s="8"/>
      <c r="R51" s="6"/>
      <c r="S51" s="8" t="str">
        <f aca="false">IF(Q51="","",IF(R51="EUR",ROUND(Q51*Параметры!$B$3,0),Q51))</f>
        <v/>
      </c>
      <c r="T51" s="6" t="s">
        <v>71</v>
      </c>
      <c r="U51" s="6" t="s">
        <v>71</v>
      </c>
      <c r="V51" s="13"/>
      <c r="W51" s="6" t="n">
        <f aca="false">IF(T51="Оплачено",1,0)</f>
        <v>0</v>
      </c>
      <c r="X51" s="6" t="n">
        <f aca="false">IF(OR(T51="Не дозвонились",Y51=0),0,1)</f>
        <v>1</v>
      </c>
      <c r="Y51" s="6" t="n">
        <v>1</v>
      </c>
      <c r="Z51" s="6"/>
      <c r="AA51" s="6" t="s">
        <v>336</v>
      </c>
      <c r="AB51" s="6"/>
    </row>
    <row r="52" customFormat="false" ht="15" hidden="false" customHeight="false" outlineLevel="0" collapsed="false">
      <c r="A52" s="6" t="n">
        <v>51</v>
      </c>
      <c r="B52" s="6" t="s">
        <v>28</v>
      </c>
      <c r="C52" s="6" t="s">
        <v>337</v>
      </c>
      <c r="D52" s="13" t="n">
        <v>46185</v>
      </c>
      <c r="E52" s="6" t="n">
        <f aca="false">MONTH(D52)</f>
        <v>6</v>
      </c>
      <c r="F52" s="6" t="s">
        <v>338</v>
      </c>
      <c r="G52" s="6" t="s">
        <v>339</v>
      </c>
      <c r="H52" s="6" t="s">
        <v>96</v>
      </c>
      <c r="I52" s="6" t="s">
        <v>34</v>
      </c>
      <c r="J52" s="6" t="s">
        <v>34</v>
      </c>
      <c r="K52" s="6" t="s">
        <v>104</v>
      </c>
      <c r="L52" s="13"/>
      <c r="M52" s="6" t="n">
        <v>0</v>
      </c>
      <c r="N52" s="13"/>
      <c r="O52" s="6" t="n">
        <v>0</v>
      </c>
      <c r="P52" s="6"/>
      <c r="Q52" s="8"/>
      <c r="R52" s="6"/>
      <c r="S52" s="8" t="str">
        <f aca="false">IF(Q52="","",IF(R52="EUR",ROUND(Q52*Параметры!$B$3,0),Q52))</f>
        <v/>
      </c>
      <c r="T52" s="6" t="s">
        <v>71</v>
      </c>
      <c r="U52" s="6" t="s">
        <v>71</v>
      </c>
      <c r="V52" s="13"/>
      <c r="W52" s="6" t="n">
        <f aca="false">IF(T52="Оплачено",1,0)</f>
        <v>0</v>
      </c>
      <c r="X52" s="6" t="n">
        <f aca="false">IF(OR(T52="Не дозвонились",Y52=0),0,1)</f>
        <v>1</v>
      </c>
      <c r="Y52" s="6" t="n">
        <v>1</v>
      </c>
      <c r="Z52" s="6"/>
      <c r="AA52" s="6"/>
      <c r="AB52" s="6"/>
    </row>
    <row r="53" customFormat="false" ht="15" hidden="false" customHeight="false" outlineLevel="0" collapsed="false">
      <c r="A53" s="6" t="n">
        <v>52</v>
      </c>
      <c r="B53" s="6" t="s">
        <v>29</v>
      </c>
      <c r="C53" s="6" t="s">
        <v>340</v>
      </c>
      <c r="D53" s="13" t="n">
        <v>46185</v>
      </c>
      <c r="E53" s="6" t="n">
        <f aca="false">MONTH(D53)</f>
        <v>6</v>
      </c>
      <c r="F53" s="6" t="s">
        <v>341</v>
      </c>
      <c r="G53" s="6" t="s">
        <v>342</v>
      </c>
      <c r="H53" s="6" t="s">
        <v>343</v>
      </c>
      <c r="I53" s="6" t="s">
        <v>35</v>
      </c>
      <c r="J53" s="6" t="s">
        <v>142</v>
      </c>
      <c r="K53" s="6" t="s">
        <v>344</v>
      </c>
      <c r="L53" s="13"/>
      <c r="M53" s="6" t="n">
        <v>0</v>
      </c>
      <c r="N53" s="13"/>
      <c r="O53" s="6" t="n">
        <v>0</v>
      </c>
      <c r="P53" s="6"/>
      <c r="Q53" s="8"/>
      <c r="R53" s="6"/>
      <c r="S53" s="8" t="str">
        <f aca="false">IF(Q53="","",IF(R53="EUR",ROUND(Q53*Параметры!$B$3,0),Q53))</f>
        <v/>
      </c>
      <c r="T53" s="6" t="s">
        <v>80</v>
      </c>
      <c r="U53" s="6" t="s">
        <v>117</v>
      </c>
      <c r="V53" s="13"/>
      <c r="W53" s="6" t="n">
        <f aca="false">IF(T53="Оплачено",1,0)</f>
        <v>0</v>
      </c>
      <c r="X53" s="6" t="n">
        <f aca="false">IF(OR(T53="Не дозвонились",Y53=0),0,1)</f>
        <v>0</v>
      </c>
      <c r="Y53" s="6" t="n">
        <v>1</v>
      </c>
      <c r="Z53" s="6"/>
      <c r="AA53" s="6"/>
      <c r="AB53" s="6"/>
    </row>
    <row r="54" customFormat="false" ht="15" hidden="false" customHeight="false" outlineLevel="0" collapsed="false">
      <c r="A54" s="6" t="n">
        <v>53</v>
      </c>
      <c r="B54" s="6" t="s">
        <v>29</v>
      </c>
      <c r="C54" s="6" t="s">
        <v>345</v>
      </c>
      <c r="D54" s="13" t="n">
        <v>46185</v>
      </c>
      <c r="E54" s="6" t="n">
        <f aca="false">MONTH(D54)</f>
        <v>6</v>
      </c>
      <c r="F54" s="6" t="s">
        <v>346</v>
      </c>
      <c r="G54" s="6" t="s">
        <v>347</v>
      </c>
      <c r="H54" s="6" t="s">
        <v>294</v>
      </c>
      <c r="I54" s="6" t="s">
        <v>34</v>
      </c>
      <c r="J54" s="6" t="s">
        <v>167</v>
      </c>
      <c r="K54" s="6" t="s">
        <v>128</v>
      </c>
      <c r="L54" s="13" t="n">
        <v>46187</v>
      </c>
      <c r="M54" s="6" t="n">
        <v>1</v>
      </c>
      <c r="N54" s="13"/>
      <c r="O54" s="6" t="n">
        <v>0</v>
      </c>
      <c r="P54" s="6"/>
      <c r="Q54" s="8"/>
      <c r="R54" s="6"/>
      <c r="S54" s="8" t="str">
        <f aca="false">IF(Q54="","",IF(R54="EUR",ROUND(Q54*Параметры!$B$3,0),Q54))</f>
        <v/>
      </c>
      <c r="T54" s="6" t="s">
        <v>71</v>
      </c>
      <c r="U54" s="6" t="s">
        <v>301</v>
      </c>
      <c r="V54" s="13"/>
      <c r="W54" s="6" t="n">
        <f aca="false">IF(T54="Оплачено",1,0)</f>
        <v>0</v>
      </c>
      <c r="X54" s="6" t="n">
        <f aca="false">IF(OR(T54="Не дозвонились",Y54=0),0,1)</f>
        <v>1</v>
      </c>
      <c r="Y54" s="6" t="n">
        <v>1</v>
      </c>
      <c r="Z54" s="6"/>
      <c r="AA54" s="6"/>
      <c r="AB54" s="6"/>
    </row>
    <row r="55" customFormat="false" ht="15" hidden="false" customHeight="false" outlineLevel="0" collapsed="false">
      <c r="A55" s="6" t="n">
        <v>54</v>
      </c>
      <c r="B55" s="6" t="s">
        <v>29</v>
      </c>
      <c r="C55" s="6" t="s">
        <v>348</v>
      </c>
      <c r="D55" s="13" t="n">
        <v>46185</v>
      </c>
      <c r="E55" s="6" t="n">
        <f aca="false">MONTH(D55)</f>
        <v>6</v>
      </c>
      <c r="F55" s="6" t="s">
        <v>349</v>
      </c>
      <c r="G55" s="6" t="s">
        <v>350</v>
      </c>
      <c r="H55" s="6" t="s">
        <v>298</v>
      </c>
      <c r="I55" s="6" t="s">
        <v>39</v>
      </c>
      <c r="J55" s="6"/>
      <c r="K55" s="6" t="s">
        <v>239</v>
      </c>
      <c r="L55" s="13"/>
      <c r="M55" s="6" t="n">
        <v>0</v>
      </c>
      <c r="N55" s="13"/>
      <c r="O55" s="6" t="n">
        <v>0</v>
      </c>
      <c r="P55" s="6"/>
      <c r="Q55" s="8"/>
      <c r="R55" s="6"/>
      <c r="S55" s="8" t="str">
        <f aca="false">IF(Q55="","",IF(R55="EUR",ROUND(Q55*Параметры!$B$3,0),Q55))</f>
        <v/>
      </c>
      <c r="T55" s="6" t="s">
        <v>80</v>
      </c>
      <c r="U55" s="6" t="s">
        <v>117</v>
      </c>
      <c r="V55" s="13"/>
      <c r="W55" s="6" t="n">
        <f aca="false">IF(T55="Оплачено",1,0)</f>
        <v>0</v>
      </c>
      <c r="X55" s="6" t="n">
        <f aca="false">IF(OR(T55="Не дозвонились",Y55=0),0,1)</f>
        <v>0</v>
      </c>
      <c r="Y55" s="6" t="n">
        <v>1</v>
      </c>
      <c r="Z55" s="6"/>
      <c r="AA55" s="6"/>
      <c r="AB55" s="6"/>
    </row>
    <row r="56" customFormat="false" ht="15" hidden="false" customHeight="false" outlineLevel="0" collapsed="false">
      <c r="A56" s="6" t="n">
        <v>55</v>
      </c>
      <c r="B56" s="6" t="s">
        <v>29</v>
      </c>
      <c r="C56" s="6" t="s">
        <v>351</v>
      </c>
      <c r="D56" s="13" t="n">
        <v>46185</v>
      </c>
      <c r="E56" s="6" t="n">
        <f aca="false">MONTH(D56)</f>
        <v>6</v>
      </c>
      <c r="F56" s="6" t="s">
        <v>352</v>
      </c>
      <c r="G56" s="6" t="s">
        <v>353</v>
      </c>
      <c r="H56" s="6" t="s">
        <v>266</v>
      </c>
      <c r="I56" s="6" t="s">
        <v>36</v>
      </c>
      <c r="J56" s="6" t="s">
        <v>354</v>
      </c>
      <c r="K56" s="6" t="s">
        <v>168</v>
      </c>
      <c r="L56" s="13" t="n">
        <v>46189</v>
      </c>
      <c r="M56" s="6" t="n">
        <v>1</v>
      </c>
      <c r="N56" s="13" t="n">
        <v>46191</v>
      </c>
      <c r="O56" s="6" t="n">
        <v>1</v>
      </c>
      <c r="P56" s="6" t="s">
        <v>355</v>
      </c>
      <c r="Q56" s="8" t="n">
        <v>29700</v>
      </c>
      <c r="R56" s="6" t="s">
        <v>89</v>
      </c>
      <c r="S56" s="8" t="n">
        <f aca="false">IF(Q56="","",IF(R56="EUR",ROUND(Q56*Параметры!$B$3,0),Q56))</f>
        <v>29700</v>
      </c>
      <c r="T56" s="6" t="s">
        <v>71</v>
      </c>
      <c r="U56" s="6" t="s">
        <v>301</v>
      </c>
      <c r="V56" s="13"/>
      <c r="W56" s="6" t="n">
        <f aca="false">IF(T56="Оплачено",1,0)</f>
        <v>0</v>
      </c>
      <c r="X56" s="6" t="n">
        <f aca="false">IF(OR(T56="Не дозвонились",Y56=0),0,1)</f>
        <v>1</v>
      </c>
      <c r="Y56" s="6" t="n">
        <v>1</v>
      </c>
      <c r="Z56" s="6"/>
      <c r="AA56" s="6"/>
      <c r="AB56" s="6" t="s">
        <v>356</v>
      </c>
    </row>
    <row r="57" customFormat="false" ht="15" hidden="false" customHeight="false" outlineLevel="0" collapsed="false">
      <c r="A57" s="6" t="n">
        <v>56</v>
      </c>
      <c r="B57" s="6" t="s">
        <v>29</v>
      </c>
      <c r="C57" s="6" t="s">
        <v>357</v>
      </c>
      <c r="D57" s="13" t="n">
        <v>46185</v>
      </c>
      <c r="E57" s="6" t="n">
        <f aca="false">MONTH(D57)</f>
        <v>6</v>
      </c>
      <c r="F57" s="6" t="s">
        <v>358</v>
      </c>
      <c r="G57" s="6" t="s">
        <v>359</v>
      </c>
      <c r="H57" s="6" t="s">
        <v>141</v>
      </c>
      <c r="I57" s="6" t="s">
        <v>35</v>
      </c>
      <c r="J57" s="6" t="s">
        <v>35</v>
      </c>
      <c r="K57" s="6" t="s">
        <v>143</v>
      </c>
      <c r="L57" s="13"/>
      <c r="M57" s="6" t="n">
        <v>0</v>
      </c>
      <c r="N57" s="13"/>
      <c r="O57" s="6" t="n">
        <v>0</v>
      </c>
      <c r="P57" s="6"/>
      <c r="Q57" s="8"/>
      <c r="R57" s="6"/>
      <c r="S57" s="8" t="str">
        <f aca="false">IF(Q57="","",IF(R57="EUR",ROUND(Q57*Параметры!$B$3,0),Q57))</f>
        <v/>
      </c>
      <c r="T57" s="6" t="s">
        <v>80</v>
      </c>
      <c r="U57" s="6" t="s">
        <v>117</v>
      </c>
      <c r="V57" s="13"/>
      <c r="W57" s="6" t="n">
        <f aca="false">IF(T57="Оплачено",1,0)</f>
        <v>0</v>
      </c>
      <c r="X57" s="6" t="n">
        <f aca="false">IF(OR(T57="Не дозвонились",Y57=0),0,1)</f>
        <v>0</v>
      </c>
      <c r="Y57" s="6" t="n">
        <v>1</v>
      </c>
      <c r="Z57" s="6"/>
      <c r="AA57" s="6"/>
      <c r="AB57" s="6"/>
    </row>
    <row r="58" customFormat="false" ht="15" hidden="false" customHeight="false" outlineLevel="0" collapsed="false">
      <c r="A58" s="6" t="n">
        <v>57</v>
      </c>
      <c r="B58" s="6" t="s">
        <v>30</v>
      </c>
      <c r="C58" s="6" t="s">
        <v>360</v>
      </c>
      <c r="D58" s="13" t="n">
        <v>46185</v>
      </c>
      <c r="E58" s="6" t="n">
        <f aca="false">MONTH(D58)</f>
        <v>6</v>
      </c>
      <c r="F58" s="6" t="s">
        <v>361</v>
      </c>
      <c r="G58" s="6" t="s">
        <v>362</v>
      </c>
      <c r="H58" s="6" t="s">
        <v>85</v>
      </c>
      <c r="I58" s="6" t="s">
        <v>34</v>
      </c>
      <c r="J58" s="6" t="s">
        <v>273</v>
      </c>
      <c r="K58" s="6" t="s">
        <v>133</v>
      </c>
      <c r="L58" s="13"/>
      <c r="M58" s="6" t="n">
        <v>0</v>
      </c>
      <c r="N58" s="13"/>
      <c r="O58" s="6" t="n">
        <v>0</v>
      </c>
      <c r="P58" s="6"/>
      <c r="Q58" s="8"/>
      <c r="R58" s="6"/>
      <c r="S58" s="8" t="str">
        <f aca="false">IF(Q58="","",IF(R58="EUR",ROUND(Q58*Параметры!$B$3,0),Q58))</f>
        <v/>
      </c>
      <c r="T58" s="6" t="s">
        <v>80</v>
      </c>
      <c r="U58" s="6" t="s">
        <v>81</v>
      </c>
      <c r="V58" s="13"/>
      <c r="W58" s="6" t="n">
        <f aca="false">IF(T58="Оплачено",1,0)</f>
        <v>0</v>
      </c>
      <c r="X58" s="6" t="n">
        <f aca="false">IF(OR(T58="Не дозвонились",Y58=0),0,1)</f>
        <v>0</v>
      </c>
      <c r="Y58" s="6" t="n">
        <v>1</v>
      </c>
      <c r="Z58" s="6"/>
      <c r="AA58" s="6"/>
      <c r="AB58" s="6"/>
    </row>
    <row r="59" customFormat="false" ht="15" hidden="false" customHeight="false" outlineLevel="0" collapsed="false">
      <c r="A59" s="6" t="n">
        <v>58</v>
      </c>
      <c r="B59" s="6" t="s">
        <v>30</v>
      </c>
      <c r="C59" s="6" t="s">
        <v>363</v>
      </c>
      <c r="D59" s="13" t="n">
        <v>46185</v>
      </c>
      <c r="E59" s="6" t="n">
        <f aca="false">MONTH(D59)</f>
        <v>6</v>
      </c>
      <c r="F59" s="6" t="s">
        <v>364</v>
      </c>
      <c r="G59" s="6" t="s">
        <v>365</v>
      </c>
      <c r="H59" s="6" t="s">
        <v>191</v>
      </c>
      <c r="I59" s="6" t="s">
        <v>34</v>
      </c>
      <c r="J59" s="6" t="s">
        <v>273</v>
      </c>
      <c r="K59" s="6" t="s">
        <v>366</v>
      </c>
      <c r="L59" s="13" t="n">
        <v>46187</v>
      </c>
      <c r="M59" s="6" t="n">
        <v>1</v>
      </c>
      <c r="N59" s="13" t="n">
        <v>46188</v>
      </c>
      <c r="O59" s="6" t="n">
        <v>1</v>
      </c>
      <c r="P59" s="6" t="s">
        <v>367</v>
      </c>
      <c r="Q59" s="8" t="n">
        <v>11000</v>
      </c>
      <c r="R59" s="6" t="s">
        <v>89</v>
      </c>
      <c r="S59" s="8" t="n">
        <f aca="false">IF(Q59="","",IF(R59="EUR",ROUND(Q59*Параметры!$B$3,0),Q59))</f>
        <v>11000</v>
      </c>
      <c r="T59" s="6" t="s">
        <v>15</v>
      </c>
      <c r="U59" s="6" t="s">
        <v>187</v>
      </c>
      <c r="V59" s="13" t="n">
        <v>46199</v>
      </c>
      <c r="W59" s="6" t="n">
        <f aca="false">IF(T59="Оплачено",1,0)</f>
        <v>1</v>
      </c>
      <c r="X59" s="6" t="n">
        <f aca="false">IF(OR(T59="Не дозвонились",Y59=0),0,1)</f>
        <v>1</v>
      </c>
      <c r="Y59" s="6" t="n">
        <v>1</v>
      </c>
      <c r="Z59" s="6"/>
      <c r="AA59" s="6"/>
      <c r="AB59" s="6" t="s">
        <v>368</v>
      </c>
    </row>
    <row r="60" customFormat="false" ht="15" hidden="false" customHeight="false" outlineLevel="0" collapsed="false">
      <c r="A60" s="6" t="n">
        <v>59</v>
      </c>
      <c r="B60" s="6" t="s">
        <v>30</v>
      </c>
      <c r="C60" s="6" t="s">
        <v>369</v>
      </c>
      <c r="D60" s="13" t="n">
        <v>46185</v>
      </c>
      <c r="E60" s="6" t="n">
        <f aca="false">MONTH(D60)</f>
        <v>6</v>
      </c>
      <c r="F60" s="6" t="s">
        <v>370</v>
      </c>
      <c r="G60" s="6" t="s">
        <v>371</v>
      </c>
      <c r="H60" s="6" t="s">
        <v>147</v>
      </c>
      <c r="I60" s="6" t="s">
        <v>34</v>
      </c>
      <c r="J60" s="6" t="s">
        <v>273</v>
      </c>
      <c r="K60" s="6" t="s">
        <v>79</v>
      </c>
      <c r="L60" s="13"/>
      <c r="M60" s="6" t="n">
        <v>0</v>
      </c>
      <c r="N60" s="13"/>
      <c r="O60" s="6" t="n">
        <v>0</v>
      </c>
      <c r="P60" s="6"/>
      <c r="Q60" s="8"/>
      <c r="R60" s="6"/>
      <c r="S60" s="8" t="str">
        <f aca="false">IF(Q60="","",IF(R60="EUR",ROUND(Q60*Параметры!$B$3,0),Q60))</f>
        <v/>
      </c>
      <c r="T60" s="6" t="s">
        <v>150</v>
      </c>
      <c r="U60" s="6" t="s">
        <v>151</v>
      </c>
      <c r="V60" s="13"/>
      <c r="W60" s="6" t="n">
        <f aca="false">IF(T60="Оплачено",1,0)</f>
        <v>0</v>
      </c>
      <c r="X60" s="6" t="n">
        <f aca="false">IF(OR(T60="Не дозвонились",Y60=0),0,1)</f>
        <v>1</v>
      </c>
      <c r="Y60" s="6" t="n">
        <v>1</v>
      </c>
      <c r="Z60" s="6"/>
      <c r="AA60" s="6"/>
      <c r="AB60" s="6" t="s">
        <v>235</v>
      </c>
    </row>
    <row r="61" customFormat="false" ht="15" hidden="false" customHeight="false" outlineLevel="0" collapsed="false">
      <c r="A61" s="6" t="n">
        <v>60</v>
      </c>
      <c r="B61" s="6" t="s">
        <v>28</v>
      </c>
      <c r="C61" s="6" t="s">
        <v>372</v>
      </c>
      <c r="D61" s="13" t="n">
        <v>46186</v>
      </c>
      <c r="E61" s="6" t="n">
        <f aca="false">MONTH(D61)</f>
        <v>6</v>
      </c>
      <c r="F61" s="6" t="s">
        <v>373</v>
      </c>
      <c r="G61" s="6" t="s">
        <v>374</v>
      </c>
      <c r="H61" s="6" t="s">
        <v>197</v>
      </c>
      <c r="I61" s="6" t="s">
        <v>36</v>
      </c>
      <c r="J61" s="6" t="s">
        <v>36</v>
      </c>
      <c r="K61" s="6" t="s">
        <v>98</v>
      </c>
      <c r="L61" s="13" t="n">
        <v>46191</v>
      </c>
      <c r="M61" s="6" t="n">
        <v>1</v>
      </c>
      <c r="N61" s="13" t="n">
        <v>46192</v>
      </c>
      <c r="O61" s="6" t="n">
        <v>1</v>
      </c>
      <c r="P61" s="6" t="s">
        <v>375</v>
      </c>
      <c r="Q61" s="8" t="n">
        <v>140700</v>
      </c>
      <c r="R61" s="6" t="s">
        <v>89</v>
      </c>
      <c r="S61" s="8" t="n">
        <f aca="false">IF(Q61="","",IF(R61="EUR",ROUND(Q61*Параметры!$B$3,0),Q61))</f>
        <v>140700</v>
      </c>
      <c r="T61" s="6" t="s">
        <v>15</v>
      </c>
      <c r="U61" s="6" t="s">
        <v>15</v>
      </c>
      <c r="V61" s="13" t="n">
        <v>46204</v>
      </c>
      <c r="W61" s="6" t="n">
        <f aca="false">IF(T61="Оплачено",1,0)</f>
        <v>1</v>
      </c>
      <c r="X61" s="6" t="n">
        <f aca="false">IF(OR(T61="Не дозвонились",Y61=0),0,1)</f>
        <v>1</v>
      </c>
      <c r="Y61" s="6" t="n">
        <v>1</v>
      </c>
      <c r="Z61" s="6"/>
      <c r="AA61" s="6"/>
      <c r="AB61" s="6"/>
    </row>
    <row r="62" customFormat="false" ht="15" hidden="false" customHeight="false" outlineLevel="0" collapsed="false">
      <c r="A62" s="6" t="n">
        <v>61</v>
      </c>
      <c r="B62" s="6" t="s">
        <v>28</v>
      </c>
      <c r="C62" s="6" t="s">
        <v>376</v>
      </c>
      <c r="D62" s="13" t="n">
        <v>46187</v>
      </c>
      <c r="E62" s="6" t="n">
        <f aca="false">MONTH(D62)</f>
        <v>6</v>
      </c>
      <c r="F62" s="6" t="s">
        <v>377</v>
      </c>
      <c r="G62" s="6" t="s">
        <v>378</v>
      </c>
      <c r="H62" s="6" t="s">
        <v>208</v>
      </c>
      <c r="I62" s="6" t="s">
        <v>36</v>
      </c>
      <c r="J62" s="6" t="s">
        <v>36</v>
      </c>
      <c r="K62" s="6" t="s">
        <v>379</v>
      </c>
      <c r="L62" s="13" t="n">
        <v>46193</v>
      </c>
      <c r="M62" s="6" t="n">
        <v>1</v>
      </c>
      <c r="N62" s="13"/>
      <c r="O62" s="6" t="n">
        <v>0</v>
      </c>
      <c r="P62" s="6"/>
      <c r="Q62" s="8"/>
      <c r="R62" s="6"/>
      <c r="S62" s="8" t="str">
        <f aca="false">IF(Q62="","",IF(R62="EUR",ROUND(Q62*Параметры!$B$3,0),Q62))</f>
        <v/>
      </c>
      <c r="T62" s="6" t="s">
        <v>71</v>
      </c>
      <c r="U62" s="6" t="s">
        <v>71</v>
      </c>
      <c r="V62" s="13"/>
      <c r="W62" s="6" t="n">
        <f aca="false">IF(T62="Оплачено",1,0)</f>
        <v>0</v>
      </c>
      <c r="X62" s="6" t="n">
        <f aca="false">IF(OR(T62="Не дозвонились",Y62=0),0,1)</f>
        <v>1</v>
      </c>
      <c r="Y62" s="6" t="n">
        <v>1</v>
      </c>
      <c r="Z62" s="6"/>
      <c r="AA62" s="6"/>
      <c r="AB62" s="6" t="s">
        <v>258</v>
      </c>
    </row>
    <row r="63" customFormat="false" ht="15" hidden="false" customHeight="false" outlineLevel="0" collapsed="false">
      <c r="A63" s="6" t="n">
        <v>62</v>
      </c>
      <c r="B63" s="6" t="s">
        <v>29</v>
      </c>
      <c r="C63" s="6" t="s">
        <v>380</v>
      </c>
      <c r="D63" s="13" t="n">
        <v>46187</v>
      </c>
      <c r="E63" s="6" t="n">
        <f aca="false">MONTH(D63)</f>
        <v>6</v>
      </c>
      <c r="F63" s="6" t="s">
        <v>381</v>
      </c>
      <c r="G63" s="6" t="s">
        <v>382</v>
      </c>
      <c r="H63" s="6" t="s">
        <v>266</v>
      </c>
      <c r="I63" s="6" t="s">
        <v>34</v>
      </c>
      <c r="J63" s="6" t="s">
        <v>383</v>
      </c>
      <c r="K63" s="6" t="s">
        <v>267</v>
      </c>
      <c r="L63" s="13"/>
      <c r="M63" s="6" t="n">
        <v>0</v>
      </c>
      <c r="N63" s="13"/>
      <c r="O63" s="6" t="n">
        <v>0</v>
      </c>
      <c r="P63" s="6"/>
      <c r="Q63" s="8"/>
      <c r="R63" s="6"/>
      <c r="S63" s="8" t="str">
        <f aca="false">IF(Q63="","",IF(R63="EUR",ROUND(Q63*Параметры!$B$3,0),Q63))</f>
        <v/>
      </c>
      <c r="T63" s="6" t="s">
        <v>71</v>
      </c>
      <c r="U63" s="6" t="s">
        <v>301</v>
      </c>
      <c r="V63" s="13"/>
      <c r="W63" s="6" t="n">
        <f aca="false">IF(T63="Оплачено",1,0)</f>
        <v>0</v>
      </c>
      <c r="X63" s="6" t="n">
        <f aca="false">IF(OR(T63="Не дозвонились",Y63=0),0,1)</f>
        <v>1</v>
      </c>
      <c r="Y63" s="6" t="n">
        <v>1</v>
      </c>
      <c r="Z63" s="6"/>
      <c r="AA63" s="6"/>
      <c r="AB63" s="6" t="s">
        <v>235</v>
      </c>
    </row>
    <row r="64" customFormat="false" ht="15" hidden="false" customHeight="false" outlineLevel="0" collapsed="false">
      <c r="A64" s="6" t="n">
        <v>63</v>
      </c>
      <c r="B64" s="6" t="s">
        <v>29</v>
      </c>
      <c r="C64" s="6" t="s">
        <v>384</v>
      </c>
      <c r="D64" s="13" t="n">
        <v>46187</v>
      </c>
      <c r="E64" s="6" t="n">
        <f aca="false">MONTH(D64)</f>
        <v>6</v>
      </c>
      <c r="F64" s="6" t="s">
        <v>385</v>
      </c>
      <c r="G64" s="6" t="s">
        <v>386</v>
      </c>
      <c r="H64" s="6" t="s">
        <v>387</v>
      </c>
      <c r="I64" s="6" t="s">
        <v>34</v>
      </c>
      <c r="J64" s="6" t="s">
        <v>383</v>
      </c>
      <c r="K64" s="6" t="s">
        <v>143</v>
      </c>
      <c r="L64" s="13" t="n">
        <v>46193</v>
      </c>
      <c r="M64" s="6" t="n">
        <v>1</v>
      </c>
      <c r="N64" s="13"/>
      <c r="O64" s="6" t="n">
        <v>0</v>
      </c>
      <c r="P64" s="6"/>
      <c r="Q64" s="8"/>
      <c r="R64" s="6"/>
      <c r="S64" s="8" t="str">
        <f aca="false">IF(Q64="","",IF(R64="EUR",ROUND(Q64*Параметры!$B$3,0),Q64))</f>
        <v/>
      </c>
      <c r="T64" s="6" t="s">
        <v>71</v>
      </c>
      <c r="U64" s="6" t="s">
        <v>72</v>
      </c>
      <c r="V64" s="13"/>
      <c r="W64" s="6" t="n">
        <f aca="false">IF(T64="Оплачено",1,0)</f>
        <v>0</v>
      </c>
      <c r="X64" s="6" t="n">
        <f aca="false">IF(OR(T64="Не дозвонились",Y64=0),0,1)</f>
        <v>1</v>
      </c>
      <c r="Y64" s="6" t="n">
        <v>1</v>
      </c>
      <c r="Z64" s="6"/>
      <c r="AA64" s="6"/>
      <c r="AB64" s="6" t="s">
        <v>258</v>
      </c>
    </row>
    <row r="65" customFormat="false" ht="15" hidden="false" customHeight="false" outlineLevel="0" collapsed="false">
      <c r="A65" s="6" t="n">
        <v>64</v>
      </c>
      <c r="B65" s="6" t="s">
        <v>30</v>
      </c>
      <c r="C65" s="6" t="s">
        <v>388</v>
      </c>
      <c r="D65" s="13" t="n">
        <v>46187</v>
      </c>
      <c r="E65" s="6" t="n">
        <f aca="false">MONTH(D65)</f>
        <v>6</v>
      </c>
      <c r="F65" s="6" t="s">
        <v>389</v>
      </c>
      <c r="G65" s="6" t="s">
        <v>390</v>
      </c>
      <c r="H65" s="6" t="s">
        <v>85</v>
      </c>
      <c r="I65" s="6" t="s">
        <v>39</v>
      </c>
      <c r="J65" s="6"/>
      <c r="K65" s="6" t="s">
        <v>79</v>
      </c>
      <c r="L65" s="13"/>
      <c r="M65" s="6" t="n">
        <v>0</v>
      </c>
      <c r="N65" s="13"/>
      <c r="O65" s="6" t="n">
        <v>0</v>
      </c>
      <c r="P65" s="6"/>
      <c r="Q65" s="8"/>
      <c r="R65" s="6"/>
      <c r="S65" s="8" t="str">
        <f aca="false">IF(Q65="","",IF(R65="EUR",ROUND(Q65*Параметры!$B$3,0),Q65))</f>
        <v/>
      </c>
      <c r="T65" s="6" t="s">
        <v>80</v>
      </c>
      <c r="U65" s="6" t="s">
        <v>81</v>
      </c>
      <c r="V65" s="13"/>
      <c r="W65" s="6" t="n">
        <f aca="false">IF(T65="Оплачено",1,0)</f>
        <v>0</v>
      </c>
      <c r="X65" s="6" t="n">
        <f aca="false">IF(OR(T65="Не дозвонились",Y65=0),0,1)</f>
        <v>0</v>
      </c>
      <c r="Y65" s="6" t="n">
        <v>1</v>
      </c>
      <c r="Z65" s="6"/>
      <c r="AA65" s="6"/>
      <c r="AB65" s="6"/>
    </row>
    <row r="66" customFormat="false" ht="15" hidden="false" customHeight="false" outlineLevel="0" collapsed="false">
      <c r="A66" s="6" t="n">
        <v>65</v>
      </c>
      <c r="B66" s="6" t="s">
        <v>28</v>
      </c>
      <c r="C66" s="6" t="s">
        <v>391</v>
      </c>
      <c r="D66" s="13" t="n">
        <v>46188</v>
      </c>
      <c r="E66" s="6" t="n">
        <f aca="false">MONTH(D66)</f>
        <v>6</v>
      </c>
      <c r="F66" s="6" t="s">
        <v>392</v>
      </c>
      <c r="G66" s="6" t="s">
        <v>393</v>
      </c>
      <c r="H66" s="6" t="s">
        <v>184</v>
      </c>
      <c r="I66" s="6" t="s">
        <v>34</v>
      </c>
      <c r="J66" s="6" t="s">
        <v>97</v>
      </c>
      <c r="K66" s="6" t="s">
        <v>104</v>
      </c>
      <c r="L66" s="13"/>
      <c r="M66" s="6" t="n">
        <v>0</v>
      </c>
      <c r="N66" s="13"/>
      <c r="O66" s="6" t="n">
        <v>0</v>
      </c>
      <c r="P66" s="6"/>
      <c r="Q66" s="8"/>
      <c r="R66" s="6"/>
      <c r="S66" s="8" t="str">
        <f aca="false">IF(Q66="","",IF(R66="EUR",ROUND(Q66*Параметры!$B$3,0),Q66))</f>
        <v/>
      </c>
      <c r="T66" s="6" t="s">
        <v>80</v>
      </c>
      <c r="U66" s="6" t="s">
        <v>163</v>
      </c>
      <c r="V66" s="13"/>
      <c r="W66" s="6" t="n">
        <f aca="false">IF(T66="Оплачено",1,0)</f>
        <v>0</v>
      </c>
      <c r="X66" s="6" t="n">
        <f aca="false">IF(OR(T66="Не дозвонились",Y66=0),0,1)</f>
        <v>0</v>
      </c>
      <c r="Y66" s="6" t="n">
        <v>1</v>
      </c>
      <c r="Z66" s="6"/>
      <c r="AA66" s="6"/>
      <c r="AB66" s="6"/>
    </row>
    <row r="67" customFormat="false" ht="15" hidden="false" customHeight="false" outlineLevel="0" collapsed="false">
      <c r="A67" s="6" t="n">
        <v>66</v>
      </c>
      <c r="B67" s="6" t="s">
        <v>28</v>
      </c>
      <c r="C67" s="6" t="s">
        <v>394</v>
      </c>
      <c r="D67" s="13" t="n">
        <v>46188</v>
      </c>
      <c r="E67" s="6" t="n">
        <f aca="false">MONTH(D67)</f>
        <v>6</v>
      </c>
      <c r="F67" s="6" t="s">
        <v>395</v>
      </c>
      <c r="G67" s="6" t="s">
        <v>396</v>
      </c>
      <c r="H67" s="6" t="s">
        <v>324</v>
      </c>
      <c r="I67" s="6" t="s">
        <v>38</v>
      </c>
      <c r="J67" s="6" t="s">
        <v>38</v>
      </c>
      <c r="K67" s="6" t="s">
        <v>104</v>
      </c>
      <c r="L67" s="13" t="n">
        <v>46192</v>
      </c>
      <c r="M67" s="6" t="n">
        <v>1</v>
      </c>
      <c r="N67" s="13" t="n">
        <v>46193</v>
      </c>
      <c r="O67" s="6" t="n">
        <v>1</v>
      </c>
      <c r="P67" s="6" t="s">
        <v>397</v>
      </c>
      <c r="Q67" s="8" t="n">
        <v>5700</v>
      </c>
      <c r="R67" s="6" t="s">
        <v>89</v>
      </c>
      <c r="S67" s="8" t="n">
        <f aca="false">IF(Q67="","",IF(R67="EUR",ROUND(Q67*Параметры!$B$3,0),Q67))</f>
        <v>5700</v>
      </c>
      <c r="T67" s="6" t="s">
        <v>71</v>
      </c>
      <c r="U67" s="6" t="s">
        <v>71</v>
      </c>
      <c r="V67" s="13"/>
      <c r="W67" s="6" t="n">
        <f aca="false">IF(T67="Оплачено",1,0)</f>
        <v>0</v>
      </c>
      <c r="X67" s="6" t="n">
        <f aca="false">IF(OR(T67="Не дозвонились",Y67=0),0,1)</f>
        <v>1</v>
      </c>
      <c r="Y67" s="6" t="n">
        <v>1</v>
      </c>
      <c r="Z67" s="6"/>
      <c r="AA67" s="6"/>
      <c r="AB67" s="6"/>
    </row>
    <row r="68" customFormat="false" ht="15" hidden="false" customHeight="false" outlineLevel="0" collapsed="false">
      <c r="A68" s="6" t="n">
        <v>67</v>
      </c>
      <c r="B68" s="6" t="s">
        <v>29</v>
      </c>
      <c r="C68" s="6" t="s">
        <v>398</v>
      </c>
      <c r="D68" s="13" t="n">
        <v>46188</v>
      </c>
      <c r="E68" s="6" t="n">
        <f aca="false">MONTH(D68)</f>
        <v>6</v>
      </c>
      <c r="F68" s="6" t="s">
        <v>399</v>
      </c>
      <c r="G68" s="6" t="s">
        <v>400</v>
      </c>
      <c r="H68" s="6" t="s">
        <v>266</v>
      </c>
      <c r="I68" s="6" t="s">
        <v>34</v>
      </c>
      <c r="J68" s="6" t="s">
        <v>383</v>
      </c>
      <c r="K68" s="6" t="s">
        <v>401</v>
      </c>
      <c r="L68" s="13"/>
      <c r="M68" s="6" t="n">
        <v>0</v>
      </c>
      <c r="N68" s="13"/>
      <c r="O68" s="6" t="n">
        <v>0</v>
      </c>
      <c r="P68" s="6"/>
      <c r="Q68" s="8"/>
      <c r="R68" s="6"/>
      <c r="S68" s="8" t="str">
        <f aca="false">IF(Q68="","",IF(R68="EUR",ROUND(Q68*Параметры!$B$3,0),Q68))</f>
        <v/>
      </c>
      <c r="T68" s="6" t="s">
        <v>71</v>
      </c>
      <c r="U68" s="6" t="s">
        <v>72</v>
      </c>
      <c r="V68" s="13"/>
      <c r="W68" s="6" t="n">
        <f aca="false">IF(T68="Оплачено",1,0)</f>
        <v>0</v>
      </c>
      <c r="X68" s="6" t="n">
        <f aca="false">IF(OR(T68="Не дозвонились",Y68=0),0,1)</f>
        <v>1</v>
      </c>
      <c r="Y68" s="6" t="n">
        <v>1</v>
      </c>
      <c r="Z68" s="6"/>
      <c r="AA68" s="6"/>
      <c r="AB68" s="6" t="s">
        <v>209</v>
      </c>
    </row>
    <row r="69" customFormat="false" ht="15" hidden="false" customHeight="false" outlineLevel="0" collapsed="false">
      <c r="A69" s="6" t="n">
        <v>68</v>
      </c>
      <c r="B69" s="6" t="s">
        <v>29</v>
      </c>
      <c r="C69" s="6" t="s">
        <v>402</v>
      </c>
      <c r="D69" s="13" t="n">
        <v>46188</v>
      </c>
      <c r="E69" s="6" t="n">
        <f aca="false">MONTH(D69)</f>
        <v>6</v>
      </c>
      <c r="F69" s="6" t="s">
        <v>403</v>
      </c>
      <c r="G69" s="6" t="s">
        <v>404</v>
      </c>
      <c r="H69" s="6" t="s">
        <v>405</v>
      </c>
      <c r="I69" s="6" t="s">
        <v>34</v>
      </c>
      <c r="J69" s="6" t="s">
        <v>34</v>
      </c>
      <c r="K69" s="6" t="s">
        <v>299</v>
      </c>
      <c r="L69" s="13"/>
      <c r="M69" s="6" t="n">
        <v>0</v>
      </c>
      <c r="N69" s="13"/>
      <c r="O69" s="6" t="n">
        <v>0</v>
      </c>
      <c r="P69" s="6"/>
      <c r="Q69" s="8"/>
      <c r="R69" s="6"/>
      <c r="S69" s="8" t="str">
        <f aca="false">IF(Q69="","",IF(R69="EUR",ROUND(Q69*Параметры!$B$3,0),Q69))</f>
        <v/>
      </c>
      <c r="T69" s="6" t="s">
        <v>71</v>
      </c>
      <c r="U69" s="6" t="s">
        <v>72</v>
      </c>
      <c r="V69" s="13"/>
      <c r="W69" s="6" t="n">
        <f aca="false">IF(T69="Оплачено",1,0)</f>
        <v>0</v>
      </c>
      <c r="X69" s="6" t="n">
        <f aca="false">IF(OR(T69="Не дозвонились",Y69=0),0,1)</f>
        <v>1</v>
      </c>
      <c r="Y69" s="6" t="n">
        <v>1</v>
      </c>
      <c r="Z69" s="6"/>
      <c r="AA69" s="6"/>
      <c r="AB69" s="6" t="s">
        <v>209</v>
      </c>
    </row>
    <row r="70" customFormat="false" ht="15" hidden="false" customHeight="false" outlineLevel="0" collapsed="false">
      <c r="A70" s="6" t="n">
        <v>69</v>
      </c>
      <c r="B70" s="6" t="s">
        <v>29</v>
      </c>
      <c r="C70" s="6" t="s">
        <v>406</v>
      </c>
      <c r="D70" s="13" t="n">
        <v>46188</v>
      </c>
      <c r="E70" s="6" t="n">
        <f aca="false">MONTH(D70)</f>
        <v>6</v>
      </c>
      <c r="F70" s="6" t="s">
        <v>407</v>
      </c>
      <c r="G70" s="6" t="s">
        <v>408</v>
      </c>
      <c r="H70" s="6" t="s">
        <v>114</v>
      </c>
      <c r="I70" s="6" t="s">
        <v>36</v>
      </c>
      <c r="J70" s="6" t="s">
        <v>409</v>
      </c>
      <c r="K70" s="6" t="s">
        <v>175</v>
      </c>
      <c r="L70" s="13" t="n">
        <v>46190</v>
      </c>
      <c r="M70" s="6" t="n">
        <v>1</v>
      </c>
      <c r="N70" s="13" t="n">
        <v>46196</v>
      </c>
      <c r="O70" s="6" t="n">
        <v>1</v>
      </c>
      <c r="P70" s="6" t="s">
        <v>397</v>
      </c>
      <c r="Q70" s="8" t="n">
        <v>5700</v>
      </c>
      <c r="R70" s="6" t="s">
        <v>89</v>
      </c>
      <c r="S70" s="8" t="n">
        <f aca="false">IF(Q70="","",IF(R70="EUR",ROUND(Q70*Параметры!$B$3,0),Q70))</f>
        <v>5700</v>
      </c>
      <c r="T70" s="6" t="s">
        <v>71</v>
      </c>
      <c r="U70" s="6" t="s">
        <v>72</v>
      </c>
      <c r="V70" s="13"/>
      <c r="W70" s="6" t="n">
        <f aca="false">IF(T70="Оплачено",1,0)</f>
        <v>0</v>
      </c>
      <c r="X70" s="6" t="n">
        <f aca="false">IF(OR(T70="Не дозвонились",Y70=0),0,1)</f>
        <v>1</v>
      </c>
      <c r="Y70" s="6" t="n">
        <v>1</v>
      </c>
      <c r="Z70" s="6"/>
      <c r="AA70" s="6"/>
      <c r="AB70" s="6" t="s">
        <v>410</v>
      </c>
    </row>
    <row r="71" customFormat="false" ht="15" hidden="false" customHeight="false" outlineLevel="0" collapsed="false">
      <c r="A71" s="6" t="n">
        <v>70</v>
      </c>
      <c r="B71" s="6" t="s">
        <v>28</v>
      </c>
      <c r="C71" s="6" t="s">
        <v>411</v>
      </c>
      <c r="D71" s="13" t="n">
        <v>46189</v>
      </c>
      <c r="E71" s="6" t="n">
        <f aca="false">MONTH(D71)</f>
        <v>6</v>
      </c>
      <c r="F71" s="6" t="s">
        <v>412</v>
      </c>
      <c r="G71" s="6" t="s">
        <v>413</v>
      </c>
      <c r="H71" s="6" t="s">
        <v>197</v>
      </c>
      <c r="I71" s="6" t="s">
        <v>35</v>
      </c>
      <c r="J71" s="6" t="s">
        <v>35</v>
      </c>
      <c r="K71" s="6" t="s">
        <v>234</v>
      </c>
      <c r="L71" s="13" t="n">
        <v>46194</v>
      </c>
      <c r="M71" s="6" t="n">
        <v>1</v>
      </c>
      <c r="N71" s="13"/>
      <c r="O71" s="6" t="n">
        <v>0</v>
      </c>
      <c r="P71" s="6"/>
      <c r="Q71" s="8"/>
      <c r="R71" s="6"/>
      <c r="S71" s="8" t="str">
        <f aca="false">IF(Q71="","",IF(R71="EUR",ROUND(Q71*Параметры!$B$3,0),Q71))</f>
        <v/>
      </c>
      <c r="T71" s="6" t="s">
        <v>71</v>
      </c>
      <c r="U71" s="6" t="s">
        <v>71</v>
      </c>
      <c r="V71" s="13"/>
      <c r="W71" s="6" t="n">
        <f aca="false">IF(T71="Оплачено",1,0)</f>
        <v>0</v>
      </c>
      <c r="X71" s="6" t="n">
        <f aca="false">IF(OR(T71="Не дозвонились",Y71=0),0,1)</f>
        <v>1</v>
      </c>
      <c r="Y71" s="6" t="n">
        <v>1</v>
      </c>
      <c r="Z71" s="6"/>
      <c r="AA71" s="6"/>
      <c r="AB71" s="6" t="s">
        <v>414</v>
      </c>
    </row>
    <row r="72" customFormat="false" ht="15" hidden="false" customHeight="false" outlineLevel="0" collapsed="false">
      <c r="A72" s="6" t="n">
        <v>71</v>
      </c>
      <c r="B72" s="6" t="s">
        <v>28</v>
      </c>
      <c r="C72" s="6" t="s">
        <v>415</v>
      </c>
      <c r="D72" s="13" t="n">
        <v>46189</v>
      </c>
      <c r="E72" s="6" t="n">
        <f aca="false">MONTH(D72)</f>
        <v>6</v>
      </c>
      <c r="F72" s="6" t="s">
        <v>416</v>
      </c>
      <c r="G72" s="6" t="s">
        <v>417</v>
      </c>
      <c r="H72" s="6" t="s">
        <v>197</v>
      </c>
      <c r="I72" s="6" t="s">
        <v>37</v>
      </c>
      <c r="J72" s="6" t="s">
        <v>313</v>
      </c>
      <c r="K72" s="6" t="s">
        <v>202</v>
      </c>
      <c r="L72" s="13" t="n">
        <v>46191</v>
      </c>
      <c r="M72" s="6" t="n">
        <v>1</v>
      </c>
      <c r="N72" s="13" t="n">
        <v>46192</v>
      </c>
      <c r="O72" s="6" t="n">
        <v>1</v>
      </c>
      <c r="P72" s="6" t="s">
        <v>418</v>
      </c>
      <c r="Q72" s="8" t="n">
        <v>22900</v>
      </c>
      <c r="R72" s="6" t="s">
        <v>89</v>
      </c>
      <c r="S72" s="8" t="n">
        <f aca="false">IF(Q72="","",IF(R72="EUR",ROUND(Q72*Параметры!$B$3,0),Q72))</f>
        <v>22900</v>
      </c>
      <c r="T72" s="6" t="s">
        <v>90</v>
      </c>
      <c r="U72" s="6" t="s">
        <v>90</v>
      </c>
      <c r="V72" s="13"/>
      <c r="W72" s="6" t="n">
        <f aca="false">IF(T72="Оплачено",1,0)</f>
        <v>0</v>
      </c>
      <c r="X72" s="6" t="n">
        <f aca="false">IF(OR(T72="Не дозвонились",Y72=0),0,1)</f>
        <v>1</v>
      </c>
      <c r="Y72" s="6" t="n">
        <v>1</v>
      </c>
      <c r="Z72" s="6"/>
      <c r="AA72" s="6" t="s">
        <v>419</v>
      </c>
      <c r="AB72" s="6"/>
    </row>
    <row r="73" customFormat="false" ht="15" hidden="false" customHeight="false" outlineLevel="0" collapsed="false">
      <c r="A73" s="6" t="n">
        <v>72</v>
      </c>
      <c r="B73" s="6" t="s">
        <v>28</v>
      </c>
      <c r="C73" s="6" t="s">
        <v>420</v>
      </c>
      <c r="D73" s="13" t="n">
        <v>46189</v>
      </c>
      <c r="E73" s="6" t="n">
        <f aca="false">MONTH(D73)</f>
        <v>6</v>
      </c>
      <c r="F73" s="6" t="s">
        <v>421</v>
      </c>
      <c r="G73" s="6" t="s">
        <v>422</v>
      </c>
      <c r="H73" s="6" t="s">
        <v>96</v>
      </c>
      <c r="I73" s="6" t="s">
        <v>37</v>
      </c>
      <c r="J73" s="6" t="s">
        <v>313</v>
      </c>
      <c r="K73" s="6" t="s">
        <v>314</v>
      </c>
      <c r="L73" s="13"/>
      <c r="M73" s="6" t="n">
        <v>0</v>
      </c>
      <c r="N73" s="13"/>
      <c r="O73" s="6" t="n">
        <v>0</v>
      </c>
      <c r="P73" s="6"/>
      <c r="Q73" s="8"/>
      <c r="R73" s="6"/>
      <c r="S73" s="8" t="str">
        <f aca="false">IF(Q73="","",IF(R73="EUR",ROUND(Q73*Параметры!$B$3,0),Q73))</f>
        <v/>
      </c>
      <c r="T73" s="6" t="s">
        <v>71</v>
      </c>
      <c r="U73" s="6" t="s">
        <v>71</v>
      </c>
      <c r="V73" s="13"/>
      <c r="W73" s="6" t="n">
        <f aca="false">IF(T73="Оплачено",1,0)</f>
        <v>0</v>
      </c>
      <c r="X73" s="6" t="n">
        <f aca="false">IF(OR(T73="Не дозвонились",Y73=0),0,1)</f>
        <v>1</v>
      </c>
      <c r="Y73" s="6" t="n">
        <v>1</v>
      </c>
      <c r="Z73" s="6"/>
      <c r="AA73" s="6"/>
      <c r="AB73" s="6"/>
    </row>
    <row r="74" customFormat="false" ht="15" hidden="false" customHeight="false" outlineLevel="0" collapsed="false">
      <c r="A74" s="14" t="n">
        <v>73</v>
      </c>
      <c r="B74" s="14" t="s">
        <v>28</v>
      </c>
      <c r="C74" s="14" t="s">
        <v>423</v>
      </c>
      <c r="D74" s="15" t="n">
        <v>46189</v>
      </c>
      <c r="E74" s="14" t="n">
        <f aca="false">MONTH(D74)</f>
        <v>6</v>
      </c>
      <c r="F74" s="14" t="s">
        <v>424</v>
      </c>
      <c r="G74" s="14" t="s">
        <v>425</v>
      </c>
      <c r="H74" s="14" t="s">
        <v>96</v>
      </c>
      <c r="I74" s="14" t="s">
        <v>37</v>
      </c>
      <c r="J74" s="14" t="s">
        <v>313</v>
      </c>
      <c r="K74" s="14" t="s">
        <v>426</v>
      </c>
      <c r="L74" s="15"/>
      <c r="M74" s="14" t="n">
        <v>0</v>
      </c>
      <c r="N74" s="15"/>
      <c r="O74" s="14" t="n">
        <v>0</v>
      </c>
      <c r="P74" s="14"/>
      <c r="Q74" s="16"/>
      <c r="R74" s="14"/>
      <c r="S74" s="16" t="str">
        <f aca="false">IF(Q74="","",IF(R74="EUR",ROUND(Q74*Параметры!$B$3,0),Q74))</f>
        <v/>
      </c>
      <c r="T74" s="14" t="s">
        <v>427</v>
      </c>
      <c r="U74" s="14" t="s">
        <v>428</v>
      </c>
      <c r="V74" s="15"/>
      <c r="W74" s="14" t="n">
        <f aca="false">IF(T74="Оплачено",1,0)</f>
        <v>0</v>
      </c>
      <c r="X74" s="14" t="n">
        <f aca="false">IF(OR(T74="Не дозвонились",Y74=0),0,1)</f>
        <v>0</v>
      </c>
      <c r="Y74" s="14" t="n">
        <v>0</v>
      </c>
      <c r="Z74" s="14" t="s">
        <v>429</v>
      </c>
      <c r="AA74" s="14"/>
      <c r="AB74" s="14"/>
    </row>
    <row r="75" customFormat="false" ht="15" hidden="false" customHeight="false" outlineLevel="0" collapsed="false">
      <c r="A75" s="6" t="n">
        <v>74</v>
      </c>
      <c r="B75" s="6" t="s">
        <v>29</v>
      </c>
      <c r="C75" s="6" t="s">
        <v>430</v>
      </c>
      <c r="D75" s="13" t="n">
        <v>46189</v>
      </c>
      <c r="E75" s="6" t="n">
        <f aca="false">MONTH(D75)</f>
        <v>6</v>
      </c>
      <c r="F75" s="6" t="s">
        <v>431</v>
      </c>
      <c r="G75" s="6" t="s">
        <v>432</v>
      </c>
      <c r="H75" s="6" t="s">
        <v>96</v>
      </c>
      <c r="I75" s="6" t="s">
        <v>37</v>
      </c>
      <c r="J75" s="6" t="s">
        <v>115</v>
      </c>
      <c r="K75" s="6" t="s">
        <v>143</v>
      </c>
      <c r="L75" s="13" t="n">
        <v>46194</v>
      </c>
      <c r="M75" s="6" t="n">
        <v>1</v>
      </c>
      <c r="N75" s="13" t="n">
        <v>46199</v>
      </c>
      <c r="O75" s="6" t="n">
        <v>1</v>
      </c>
      <c r="P75" s="6" t="s">
        <v>433</v>
      </c>
      <c r="Q75" s="8" t="n">
        <v>1940</v>
      </c>
      <c r="R75" s="6" t="s">
        <v>135</v>
      </c>
      <c r="S75" s="8" t="n">
        <f aca="false">IF(Q75="","",IF(R75="EUR",ROUND(Q75*Параметры!$B$3,0),Q75))</f>
        <v>39071</v>
      </c>
      <c r="T75" s="6" t="s">
        <v>90</v>
      </c>
      <c r="U75" s="6" t="s">
        <v>434</v>
      </c>
      <c r="V75" s="13"/>
      <c r="W75" s="6" t="n">
        <f aca="false">IF(T75="Оплачено",1,0)</f>
        <v>0</v>
      </c>
      <c r="X75" s="6" t="n">
        <f aca="false">IF(OR(T75="Не дозвонились",Y75=0),0,1)</f>
        <v>1</v>
      </c>
      <c r="Y75" s="6" t="n">
        <v>1</v>
      </c>
      <c r="Z75" s="6"/>
      <c r="AA75" s="6" t="s">
        <v>435</v>
      </c>
      <c r="AB75" s="6"/>
    </row>
    <row r="76" customFormat="false" ht="15" hidden="false" customHeight="false" outlineLevel="0" collapsed="false">
      <c r="A76" s="6" t="n">
        <v>75</v>
      </c>
      <c r="B76" s="6" t="s">
        <v>29</v>
      </c>
      <c r="C76" s="6" t="s">
        <v>436</v>
      </c>
      <c r="D76" s="13" t="n">
        <v>46189</v>
      </c>
      <c r="E76" s="6" t="n">
        <f aca="false">MONTH(D76)</f>
        <v>6</v>
      </c>
      <c r="F76" s="6" t="s">
        <v>437</v>
      </c>
      <c r="G76" s="6" t="s">
        <v>438</v>
      </c>
      <c r="H76" s="6" t="s">
        <v>266</v>
      </c>
      <c r="I76" s="6" t="s">
        <v>38</v>
      </c>
      <c r="J76" s="6" t="s">
        <v>38</v>
      </c>
      <c r="K76" s="6" t="s">
        <v>299</v>
      </c>
      <c r="L76" s="13"/>
      <c r="M76" s="6" t="n">
        <v>0</v>
      </c>
      <c r="N76" s="13"/>
      <c r="O76" s="6" t="n">
        <v>0</v>
      </c>
      <c r="P76" s="6"/>
      <c r="Q76" s="8"/>
      <c r="R76" s="6"/>
      <c r="S76" s="8" t="str">
        <f aca="false">IF(Q76="","",IF(R76="EUR",ROUND(Q76*Параметры!$B$3,0),Q76))</f>
        <v/>
      </c>
      <c r="T76" s="6" t="s">
        <v>80</v>
      </c>
      <c r="U76" s="6" t="s">
        <v>117</v>
      </c>
      <c r="V76" s="13"/>
      <c r="W76" s="6" t="n">
        <f aca="false">IF(T76="Оплачено",1,0)</f>
        <v>0</v>
      </c>
      <c r="X76" s="6" t="n">
        <f aca="false">IF(OR(T76="Не дозвонились",Y76=0),0,1)</f>
        <v>0</v>
      </c>
      <c r="Y76" s="6" t="n">
        <v>1</v>
      </c>
      <c r="Z76" s="6"/>
      <c r="AA76" s="6"/>
      <c r="AB76" s="6"/>
    </row>
    <row r="77" customFormat="false" ht="15" hidden="false" customHeight="false" outlineLevel="0" collapsed="false">
      <c r="A77" s="6" t="n">
        <v>76</v>
      </c>
      <c r="B77" s="6" t="s">
        <v>30</v>
      </c>
      <c r="C77" s="6" t="s">
        <v>439</v>
      </c>
      <c r="D77" s="13" t="n">
        <v>46189</v>
      </c>
      <c r="E77" s="6" t="n">
        <f aca="false">MONTH(D77)</f>
        <v>6</v>
      </c>
      <c r="F77" s="6" t="s">
        <v>440</v>
      </c>
      <c r="G77" s="6" t="s">
        <v>441</v>
      </c>
      <c r="H77" s="6" t="s">
        <v>208</v>
      </c>
      <c r="I77" s="6" t="s">
        <v>39</v>
      </c>
      <c r="J77" s="6"/>
      <c r="K77" s="6" t="s">
        <v>224</v>
      </c>
      <c r="L77" s="13"/>
      <c r="M77" s="6" t="n">
        <v>1</v>
      </c>
      <c r="N77" s="13"/>
      <c r="O77" s="6" t="n">
        <v>0</v>
      </c>
      <c r="P77" s="6"/>
      <c r="Q77" s="8"/>
      <c r="R77" s="6"/>
      <c r="S77" s="8" t="str">
        <f aca="false">IF(Q77="","",IF(R77="EUR",ROUND(Q77*Параметры!$B$3,0),Q77))</f>
        <v/>
      </c>
      <c r="T77" s="6" t="s">
        <v>71</v>
      </c>
      <c r="U77" s="6" t="s">
        <v>72</v>
      </c>
      <c r="V77" s="13"/>
      <c r="W77" s="6" t="n">
        <f aca="false">IF(T77="Оплачено",1,0)</f>
        <v>0</v>
      </c>
      <c r="X77" s="6" t="n">
        <f aca="false">IF(OR(T77="Не дозвонились",Y77=0),0,1)</f>
        <v>1</v>
      </c>
      <c r="Y77" s="6" t="n">
        <v>1</v>
      </c>
      <c r="Z77" s="6"/>
      <c r="AA77" s="6"/>
      <c r="AB77" s="6" t="s">
        <v>414</v>
      </c>
    </row>
    <row r="78" customFormat="false" ht="15" hidden="false" customHeight="false" outlineLevel="0" collapsed="false">
      <c r="A78" s="6" t="n">
        <v>77</v>
      </c>
      <c r="B78" s="6" t="s">
        <v>30</v>
      </c>
      <c r="C78" s="6" t="s">
        <v>442</v>
      </c>
      <c r="D78" s="13" t="n">
        <v>46189</v>
      </c>
      <c r="E78" s="6" t="n">
        <f aca="false">MONTH(D78)</f>
        <v>6</v>
      </c>
      <c r="F78" s="6" t="s">
        <v>443</v>
      </c>
      <c r="G78" s="6" t="s">
        <v>444</v>
      </c>
      <c r="H78" s="6" t="s">
        <v>191</v>
      </c>
      <c r="I78" s="6" t="s">
        <v>35</v>
      </c>
      <c r="J78" s="6" t="s">
        <v>142</v>
      </c>
      <c r="K78" s="6" t="s">
        <v>87</v>
      </c>
      <c r="L78" s="13" t="n">
        <v>46192</v>
      </c>
      <c r="M78" s="6" t="n">
        <v>1</v>
      </c>
      <c r="N78" s="13" t="n">
        <v>46195</v>
      </c>
      <c r="O78" s="6" t="n">
        <v>1</v>
      </c>
      <c r="P78" s="6" t="s">
        <v>445</v>
      </c>
      <c r="Q78" s="8" t="n">
        <v>24600</v>
      </c>
      <c r="R78" s="6" t="s">
        <v>89</v>
      </c>
      <c r="S78" s="8" t="n">
        <f aca="false">IF(Q78="","",IF(R78="EUR",ROUND(Q78*Параметры!$B$3,0),Q78))</f>
        <v>24600</v>
      </c>
      <c r="T78" s="6" t="s">
        <v>15</v>
      </c>
      <c r="U78" s="6" t="s">
        <v>187</v>
      </c>
      <c r="V78" s="13" t="n">
        <v>46203</v>
      </c>
      <c r="W78" s="6" t="n">
        <f aca="false">IF(T78="Оплачено",1,0)</f>
        <v>1</v>
      </c>
      <c r="X78" s="6" t="n">
        <f aca="false">IF(OR(T78="Не дозвонились",Y78=0),0,1)</f>
        <v>1</v>
      </c>
      <c r="Y78" s="6" t="n">
        <v>1</v>
      </c>
      <c r="Z78" s="6"/>
      <c r="AA78" s="6"/>
      <c r="AB78" s="6" t="s">
        <v>325</v>
      </c>
    </row>
    <row r="79" customFormat="false" ht="15" hidden="false" customHeight="false" outlineLevel="0" collapsed="false">
      <c r="A79" s="6" t="n">
        <v>78</v>
      </c>
      <c r="B79" s="6" t="s">
        <v>30</v>
      </c>
      <c r="C79" s="6" t="s">
        <v>446</v>
      </c>
      <c r="D79" s="13" t="n">
        <v>46189</v>
      </c>
      <c r="E79" s="6" t="n">
        <f aca="false">MONTH(D79)</f>
        <v>6</v>
      </c>
      <c r="F79" s="6" t="s">
        <v>447</v>
      </c>
      <c r="G79" s="6" t="s">
        <v>425</v>
      </c>
      <c r="H79" s="6" t="s">
        <v>147</v>
      </c>
      <c r="I79" s="6" t="s">
        <v>37</v>
      </c>
      <c r="J79" s="6" t="s">
        <v>86</v>
      </c>
      <c r="K79" s="6" t="s">
        <v>426</v>
      </c>
      <c r="L79" s="13" t="n">
        <v>46191</v>
      </c>
      <c r="M79" s="6" t="n">
        <v>1</v>
      </c>
      <c r="N79" s="13" t="n">
        <v>46192</v>
      </c>
      <c r="O79" s="6" t="n">
        <v>1</v>
      </c>
      <c r="P79" s="6" t="s">
        <v>448</v>
      </c>
      <c r="Q79" s="8" t="n">
        <v>118000</v>
      </c>
      <c r="R79" s="6" t="s">
        <v>89</v>
      </c>
      <c r="S79" s="8" t="n">
        <f aca="false">IF(Q79="","",IF(R79="EUR",ROUND(Q79*Параметры!$B$3,0),Q79))</f>
        <v>118000</v>
      </c>
      <c r="T79" s="6" t="s">
        <v>15</v>
      </c>
      <c r="U79" s="6" t="s">
        <v>187</v>
      </c>
      <c r="V79" s="13" t="n">
        <v>46205</v>
      </c>
      <c r="W79" s="6" t="n">
        <f aca="false">IF(T79="Оплачено",1,0)</f>
        <v>1</v>
      </c>
      <c r="X79" s="6" t="n">
        <f aca="false">IF(OR(T79="Не дозвонились",Y79=0),0,1)</f>
        <v>1</v>
      </c>
      <c r="Y79" s="6" t="n">
        <v>1</v>
      </c>
      <c r="Z79" s="6"/>
      <c r="AA79" s="6" t="s">
        <v>449</v>
      </c>
      <c r="AB79" s="6" t="s">
        <v>450</v>
      </c>
    </row>
    <row r="80" customFormat="false" ht="15" hidden="false" customHeight="false" outlineLevel="0" collapsed="false">
      <c r="A80" s="6" t="n">
        <v>79</v>
      </c>
      <c r="B80" s="6" t="s">
        <v>28</v>
      </c>
      <c r="C80" s="6" t="s">
        <v>451</v>
      </c>
      <c r="D80" s="13" t="n">
        <v>46190</v>
      </c>
      <c r="E80" s="6" t="n">
        <f aca="false">MONTH(D80)</f>
        <v>6</v>
      </c>
      <c r="F80" s="6" t="s">
        <v>452</v>
      </c>
      <c r="G80" s="6" t="s">
        <v>453</v>
      </c>
      <c r="H80" s="6" t="s">
        <v>161</v>
      </c>
      <c r="I80" s="6" t="s">
        <v>34</v>
      </c>
      <c r="J80" s="6" t="s">
        <v>34</v>
      </c>
      <c r="K80" s="6" t="s">
        <v>202</v>
      </c>
      <c r="L80" s="13"/>
      <c r="M80" s="6" t="n">
        <v>0</v>
      </c>
      <c r="N80" s="13"/>
      <c r="O80" s="6" t="n">
        <v>0</v>
      </c>
      <c r="P80" s="6"/>
      <c r="Q80" s="8"/>
      <c r="R80" s="6"/>
      <c r="S80" s="8" t="str">
        <f aca="false">IF(Q80="","",IF(R80="EUR",ROUND(Q80*Параметры!$B$3,0),Q80))</f>
        <v/>
      </c>
      <c r="T80" s="6" t="s">
        <v>71</v>
      </c>
      <c r="U80" s="6" t="s">
        <v>71</v>
      </c>
      <c r="V80" s="13"/>
      <c r="W80" s="6" t="n">
        <f aca="false">IF(T80="Оплачено",1,0)</f>
        <v>0</v>
      </c>
      <c r="X80" s="6" t="n">
        <f aca="false">IF(OR(T80="Не дозвонились",Y80=0),0,1)</f>
        <v>1</v>
      </c>
      <c r="Y80" s="6" t="n">
        <v>1</v>
      </c>
      <c r="Z80" s="6"/>
      <c r="AA80" s="6"/>
      <c r="AB80" s="6" t="s">
        <v>454</v>
      </c>
    </row>
    <row r="81" customFormat="false" ht="15" hidden="false" customHeight="false" outlineLevel="0" collapsed="false">
      <c r="A81" s="6" t="n">
        <v>80</v>
      </c>
      <c r="B81" s="6" t="s">
        <v>29</v>
      </c>
      <c r="C81" s="6" t="s">
        <v>455</v>
      </c>
      <c r="D81" s="13" t="n">
        <v>46190</v>
      </c>
      <c r="E81" s="6" t="n">
        <f aca="false">MONTH(D81)</f>
        <v>6</v>
      </c>
      <c r="F81" s="6" t="s">
        <v>456</v>
      </c>
      <c r="G81" s="6" t="s">
        <v>457</v>
      </c>
      <c r="H81" s="6" t="s">
        <v>121</v>
      </c>
      <c r="I81" s="6" t="s">
        <v>35</v>
      </c>
      <c r="J81" s="6" t="s">
        <v>142</v>
      </c>
      <c r="K81" s="6" t="s">
        <v>458</v>
      </c>
      <c r="L81" s="13"/>
      <c r="M81" s="6" t="n">
        <v>0</v>
      </c>
      <c r="N81" s="13"/>
      <c r="O81" s="6" t="n">
        <v>0</v>
      </c>
      <c r="P81" s="6"/>
      <c r="Q81" s="8"/>
      <c r="R81" s="6"/>
      <c r="S81" s="8" t="str">
        <f aca="false">IF(Q81="","",IF(R81="EUR",ROUND(Q81*Параметры!$B$3,0),Q81))</f>
        <v/>
      </c>
      <c r="T81" s="6" t="s">
        <v>80</v>
      </c>
      <c r="U81" s="6" t="s">
        <v>117</v>
      </c>
      <c r="V81" s="13"/>
      <c r="W81" s="6" t="n">
        <f aca="false">IF(T81="Оплачено",1,0)</f>
        <v>0</v>
      </c>
      <c r="X81" s="6" t="n">
        <f aca="false">IF(OR(T81="Не дозвонились",Y81=0),0,1)</f>
        <v>0</v>
      </c>
      <c r="Y81" s="6" t="n">
        <v>1</v>
      </c>
      <c r="Z81" s="6"/>
      <c r="AA81" s="6"/>
      <c r="AB81" s="6"/>
    </row>
    <row r="82" customFormat="false" ht="15" hidden="false" customHeight="false" outlineLevel="0" collapsed="false">
      <c r="A82" s="6" t="n">
        <v>81</v>
      </c>
      <c r="B82" s="6" t="s">
        <v>28</v>
      </c>
      <c r="C82" s="6" t="s">
        <v>459</v>
      </c>
      <c r="D82" s="13" t="n">
        <v>46191</v>
      </c>
      <c r="E82" s="6" t="n">
        <f aca="false">MONTH(D82)</f>
        <v>6</v>
      </c>
      <c r="F82" s="6" t="s">
        <v>460</v>
      </c>
      <c r="G82" s="6" t="s">
        <v>461</v>
      </c>
      <c r="H82" s="6" t="s">
        <v>208</v>
      </c>
      <c r="I82" s="6" t="s">
        <v>35</v>
      </c>
      <c r="J82" s="6" t="s">
        <v>35</v>
      </c>
      <c r="K82" s="6" t="s">
        <v>287</v>
      </c>
      <c r="L82" s="13"/>
      <c r="M82" s="6" t="n">
        <v>0</v>
      </c>
      <c r="N82" s="13"/>
      <c r="O82" s="6" t="n">
        <v>0</v>
      </c>
      <c r="P82" s="6"/>
      <c r="Q82" s="8"/>
      <c r="R82" s="6"/>
      <c r="S82" s="8" t="str">
        <f aca="false">IF(Q82="","",IF(R82="EUR",ROUND(Q82*Параметры!$B$3,0),Q82))</f>
        <v/>
      </c>
      <c r="T82" s="6" t="s">
        <v>80</v>
      </c>
      <c r="U82" s="6" t="s">
        <v>163</v>
      </c>
      <c r="V82" s="13"/>
      <c r="W82" s="6" t="n">
        <f aca="false">IF(T82="Оплачено",1,0)</f>
        <v>0</v>
      </c>
      <c r="X82" s="6" t="n">
        <f aca="false">IF(OR(T82="Не дозвонились",Y82=0),0,1)</f>
        <v>0</v>
      </c>
      <c r="Y82" s="6" t="n">
        <v>1</v>
      </c>
      <c r="Z82" s="6"/>
      <c r="AA82" s="6"/>
      <c r="AB82" s="6"/>
    </row>
    <row r="83" customFormat="false" ht="15" hidden="false" customHeight="false" outlineLevel="0" collapsed="false">
      <c r="A83" s="6" t="n">
        <v>82</v>
      </c>
      <c r="B83" s="6" t="s">
        <v>28</v>
      </c>
      <c r="C83" s="6" t="s">
        <v>462</v>
      </c>
      <c r="D83" s="13" t="n">
        <v>46191</v>
      </c>
      <c r="E83" s="6" t="n">
        <f aca="false">MONTH(D83)</f>
        <v>6</v>
      </c>
      <c r="F83" s="6" t="s">
        <v>463</v>
      </c>
      <c r="G83" s="6" t="s">
        <v>464</v>
      </c>
      <c r="H83" s="6" t="s">
        <v>197</v>
      </c>
      <c r="I83" s="6" t="s">
        <v>36</v>
      </c>
      <c r="J83" s="6" t="s">
        <v>253</v>
      </c>
      <c r="K83" s="6" t="s">
        <v>202</v>
      </c>
      <c r="L83" s="13" t="n">
        <v>46193</v>
      </c>
      <c r="M83" s="6" t="n">
        <v>1</v>
      </c>
      <c r="N83" s="13" t="n">
        <v>46194</v>
      </c>
      <c r="O83" s="6" t="n">
        <v>1</v>
      </c>
      <c r="P83" s="6" t="s">
        <v>465</v>
      </c>
      <c r="Q83" s="8" t="n">
        <v>34800</v>
      </c>
      <c r="R83" s="6" t="s">
        <v>89</v>
      </c>
      <c r="S83" s="8" t="n">
        <f aca="false">IF(Q83="","",IF(R83="EUR",ROUND(Q83*Параметры!$B$3,0),Q83))</f>
        <v>34800</v>
      </c>
      <c r="T83" s="6" t="s">
        <v>15</v>
      </c>
      <c r="U83" s="6" t="s">
        <v>15</v>
      </c>
      <c r="V83" s="13" t="n">
        <v>46197</v>
      </c>
      <c r="W83" s="6" t="n">
        <f aca="false">IF(T83="Оплачено",1,0)</f>
        <v>1</v>
      </c>
      <c r="X83" s="6" t="n">
        <f aca="false">IF(OR(T83="Не дозвонились",Y83=0),0,1)</f>
        <v>1</v>
      </c>
      <c r="Y83" s="6" t="n">
        <v>1</v>
      </c>
      <c r="Z83" s="6"/>
      <c r="AA83" s="6"/>
      <c r="AB83" s="6"/>
    </row>
    <row r="84" customFormat="false" ht="15" hidden="false" customHeight="false" outlineLevel="0" collapsed="false">
      <c r="A84" s="6" t="n">
        <v>83</v>
      </c>
      <c r="B84" s="6" t="s">
        <v>28</v>
      </c>
      <c r="C84" s="6" t="s">
        <v>466</v>
      </c>
      <c r="D84" s="13" t="n">
        <v>46191</v>
      </c>
      <c r="E84" s="6" t="n">
        <f aca="false">MONTH(D84)</f>
        <v>6</v>
      </c>
      <c r="F84" s="6" t="s">
        <v>467</v>
      </c>
      <c r="G84" s="6" t="s">
        <v>468</v>
      </c>
      <c r="H84" s="6" t="s">
        <v>96</v>
      </c>
      <c r="I84" s="6" t="s">
        <v>34</v>
      </c>
      <c r="J84" s="6" t="s">
        <v>97</v>
      </c>
      <c r="K84" s="6" t="s">
        <v>156</v>
      </c>
      <c r="L84" s="13" t="n">
        <v>46195</v>
      </c>
      <c r="M84" s="6" t="n">
        <v>1</v>
      </c>
      <c r="N84" s="13" t="n">
        <v>46200</v>
      </c>
      <c r="O84" s="6" t="n">
        <v>1</v>
      </c>
      <c r="P84" s="6" t="s">
        <v>469</v>
      </c>
      <c r="Q84" s="8" t="n">
        <v>25400</v>
      </c>
      <c r="R84" s="6" t="s">
        <v>89</v>
      </c>
      <c r="S84" s="8" t="n">
        <f aca="false">IF(Q84="","",IF(R84="EUR",ROUND(Q84*Параметры!$B$3,0),Q84))</f>
        <v>25400</v>
      </c>
      <c r="T84" s="6" t="s">
        <v>90</v>
      </c>
      <c r="U84" s="6" t="s">
        <v>90</v>
      </c>
      <c r="V84" s="13"/>
      <c r="W84" s="6" t="n">
        <f aca="false">IF(T84="Оплачено",1,0)</f>
        <v>0</v>
      </c>
      <c r="X84" s="6" t="n">
        <f aca="false">IF(OR(T84="Не дозвонились",Y84=0),0,1)</f>
        <v>1</v>
      </c>
      <c r="Y84" s="6" t="n">
        <v>1</v>
      </c>
      <c r="Z84" s="6"/>
      <c r="AA84" s="6"/>
      <c r="AB84" s="6"/>
    </row>
    <row r="85" customFormat="false" ht="15" hidden="false" customHeight="false" outlineLevel="0" collapsed="false">
      <c r="A85" s="6" t="n">
        <v>84</v>
      </c>
      <c r="B85" s="6" t="s">
        <v>29</v>
      </c>
      <c r="C85" s="6" t="s">
        <v>470</v>
      </c>
      <c r="D85" s="13" t="n">
        <v>46191</v>
      </c>
      <c r="E85" s="6" t="n">
        <f aca="false">MONTH(D85)</f>
        <v>6</v>
      </c>
      <c r="F85" s="6" t="s">
        <v>471</v>
      </c>
      <c r="G85" s="6" t="s">
        <v>472</v>
      </c>
      <c r="H85" s="6" t="s">
        <v>121</v>
      </c>
      <c r="I85" s="6" t="s">
        <v>38</v>
      </c>
      <c r="J85" s="6" t="s">
        <v>174</v>
      </c>
      <c r="K85" s="6" t="s">
        <v>401</v>
      </c>
      <c r="L85" s="13"/>
      <c r="M85" s="6" t="n">
        <v>0</v>
      </c>
      <c r="N85" s="13"/>
      <c r="O85" s="6" t="n">
        <v>0</v>
      </c>
      <c r="P85" s="6"/>
      <c r="Q85" s="8"/>
      <c r="R85" s="6"/>
      <c r="S85" s="8" t="str">
        <f aca="false">IF(Q85="","",IF(R85="EUR",ROUND(Q85*Параметры!$B$3,0),Q85))</f>
        <v/>
      </c>
      <c r="T85" s="6" t="s">
        <v>80</v>
      </c>
      <c r="U85" s="6" t="s">
        <v>117</v>
      </c>
      <c r="V85" s="13"/>
      <c r="W85" s="6" t="n">
        <f aca="false">IF(T85="Оплачено",1,0)</f>
        <v>0</v>
      </c>
      <c r="X85" s="6" t="n">
        <f aca="false">IF(OR(T85="Не дозвонились",Y85=0),0,1)</f>
        <v>0</v>
      </c>
      <c r="Y85" s="6" t="n">
        <v>1</v>
      </c>
      <c r="Z85" s="6"/>
      <c r="AA85" s="6"/>
      <c r="AB85" s="6"/>
    </row>
    <row r="86" customFormat="false" ht="15" hidden="false" customHeight="false" outlineLevel="0" collapsed="false">
      <c r="A86" s="6" t="n">
        <v>85</v>
      </c>
      <c r="B86" s="6" t="s">
        <v>29</v>
      </c>
      <c r="C86" s="6" t="s">
        <v>473</v>
      </c>
      <c r="D86" s="13" t="n">
        <v>46191</v>
      </c>
      <c r="E86" s="6" t="n">
        <f aca="false">MONTH(D86)</f>
        <v>6</v>
      </c>
      <c r="F86" s="6" t="s">
        <v>474</v>
      </c>
      <c r="G86" s="6" t="s">
        <v>475</v>
      </c>
      <c r="H86" s="6" t="s">
        <v>114</v>
      </c>
      <c r="I86" s="6" t="s">
        <v>35</v>
      </c>
      <c r="J86" s="6" t="s">
        <v>142</v>
      </c>
      <c r="K86" s="6" t="s">
        <v>458</v>
      </c>
      <c r="L86" s="13" t="n">
        <v>46196</v>
      </c>
      <c r="M86" s="6" t="n">
        <v>1</v>
      </c>
      <c r="N86" s="13" t="n">
        <v>46196</v>
      </c>
      <c r="O86" s="6" t="n">
        <v>1</v>
      </c>
      <c r="P86" s="6" t="s">
        <v>476</v>
      </c>
      <c r="Q86" s="8" t="n">
        <v>7040</v>
      </c>
      <c r="R86" s="6" t="s">
        <v>135</v>
      </c>
      <c r="S86" s="8" t="n">
        <f aca="false">IF(Q86="","",IF(R86="EUR",ROUND(Q86*Параметры!$B$3,0),Q86))</f>
        <v>141783</v>
      </c>
      <c r="T86" s="6" t="s">
        <v>71</v>
      </c>
      <c r="U86" s="6" t="s">
        <v>72</v>
      </c>
      <c r="V86" s="13"/>
      <c r="W86" s="6" t="n">
        <f aca="false">IF(T86="Оплачено",1,0)</f>
        <v>0</v>
      </c>
      <c r="X86" s="6" t="n">
        <f aca="false">IF(OR(T86="Не дозвонились",Y86=0),0,1)</f>
        <v>1</v>
      </c>
      <c r="Y86" s="6" t="n">
        <v>1</v>
      </c>
      <c r="Z86" s="6"/>
      <c r="AA86" s="6" t="s">
        <v>477</v>
      </c>
      <c r="AB86" s="6"/>
    </row>
    <row r="87" customFormat="false" ht="15" hidden="false" customHeight="false" outlineLevel="0" collapsed="false">
      <c r="A87" s="6" t="n">
        <v>86</v>
      </c>
      <c r="B87" s="6" t="s">
        <v>29</v>
      </c>
      <c r="C87" s="6" t="s">
        <v>478</v>
      </c>
      <c r="D87" s="13" t="n">
        <v>46191</v>
      </c>
      <c r="E87" s="6" t="n">
        <f aca="false">MONTH(D87)</f>
        <v>6</v>
      </c>
      <c r="F87" s="6" t="s">
        <v>479</v>
      </c>
      <c r="G87" s="6" t="s">
        <v>480</v>
      </c>
      <c r="H87" s="6" t="s">
        <v>481</v>
      </c>
      <c r="I87" s="6" t="s">
        <v>34</v>
      </c>
      <c r="J87" s="6" t="s">
        <v>34</v>
      </c>
      <c r="K87" s="6" t="s">
        <v>239</v>
      </c>
      <c r="L87" s="13" t="n">
        <v>46193</v>
      </c>
      <c r="M87" s="6" t="n">
        <v>1</v>
      </c>
      <c r="N87" s="13" t="n">
        <v>46202</v>
      </c>
      <c r="O87" s="6" t="n">
        <v>1</v>
      </c>
      <c r="P87" s="6" t="s">
        <v>482</v>
      </c>
      <c r="Q87" s="8" t="n">
        <v>28400</v>
      </c>
      <c r="R87" s="6" t="s">
        <v>89</v>
      </c>
      <c r="S87" s="8" t="n">
        <f aca="false">IF(Q87="","",IF(R87="EUR",ROUND(Q87*Параметры!$B$3,0),Q87))</f>
        <v>28400</v>
      </c>
      <c r="T87" s="6" t="s">
        <v>71</v>
      </c>
      <c r="U87" s="6" t="s">
        <v>301</v>
      </c>
      <c r="V87" s="13"/>
      <c r="W87" s="6" t="n">
        <f aca="false">IF(T87="Оплачено",1,0)</f>
        <v>0</v>
      </c>
      <c r="X87" s="6" t="n">
        <f aca="false">IF(OR(T87="Не дозвонились",Y87=0),0,1)</f>
        <v>1</v>
      </c>
      <c r="Y87" s="6" t="n">
        <v>1</v>
      </c>
      <c r="Z87" s="6"/>
      <c r="AA87" s="6"/>
      <c r="AB87" s="6"/>
    </row>
    <row r="88" customFormat="false" ht="15" hidden="false" customHeight="false" outlineLevel="0" collapsed="false">
      <c r="A88" s="6" t="n">
        <v>87</v>
      </c>
      <c r="B88" s="6" t="s">
        <v>29</v>
      </c>
      <c r="C88" s="6" t="s">
        <v>483</v>
      </c>
      <c r="D88" s="13" t="n">
        <v>46191</v>
      </c>
      <c r="E88" s="6" t="n">
        <f aca="false">MONTH(D88)</f>
        <v>6</v>
      </c>
      <c r="F88" s="6" t="s">
        <v>484</v>
      </c>
      <c r="G88" s="6" t="s">
        <v>485</v>
      </c>
      <c r="H88" s="6" t="s">
        <v>96</v>
      </c>
      <c r="I88" s="6" t="s">
        <v>34</v>
      </c>
      <c r="J88" s="6" t="s">
        <v>383</v>
      </c>
      <c r="K88" s="6" t="s">
        <v>175</v>
      </c>
      <c r="L88" s="13"/>
      <c r="M88" s="6" t="n">
        <v>0</v>
      </c>
      <c r="N88" s="13"/>
      <c r="O88" s="6" t="n">
        <v>0</v>
      </c>
      <c r="P88" s="6"/>
      <c r="Q88" s="8"/>
      <c r="R88" s="6"/>
      <c r="S88" s="8" t="str">
        <f aca="false">IF(Q88="","",IF(R88="EUR",ROUND(Q88*Параметры!$B$3,0),Q88))</f>
        <v/>
      </c>
      <c r="T88" s="6" t="s">
        <v>80</v>
      </c>
      <c r="U88" s="6" t="s">
        <v>117</v>
      </c>
      <c r="V88" s="13"/>
      <c r="W88" s="6" t="n">
        <f aca="false">IF(T88="Оплачено",1,0)</f>
        <v>0</v>
      </c>
      <c r="X88" s="6" t="n">
        <f aca="false">IF(OR(T88="Не дозвонились",Y88=0),0,1)</f>
        <v>0</v>
      </c>
      <c r="Y88" s="6" t="n">
        <v>1</v>
      </c>
      <c r="Z88" s="6"/>
      <c r="AA88" s="6"/>
      <c r="AB88" s="6"/>
    </row>
    <row r="89" customFormat="false" ht="15" hidden="false" customHeight="false" outlineLevel="0" collapsed="false">
      <c r="A89" s="6" t="n">
        <v>88</v>
      </c>
      <c r="B89" s="6" t="s">
        <v>29</v>
      </c>
      <c r="C89" s="6" t="s">
        <v>486</v>
      </c>
      <c r="D89" s="13" t="n">
        <v>46191</v>
      </c>
      <c r="E89" s="6" t="n">
        <f aca="false">MONTH(D89)</f>
        <v>6</v>
      </c>
      <c r="F89" s="6" t="s">
        <v>487</v>
      </c>
      <c r="G89" s="6" t="s">
        <v>488</v>
      </c>
      <c r="H89" s="6" t="s">
        <v>96</v>
      </c>
      <c r="I89" s="6" t="s">
        <v>34</v>
      </c>
      <c r="J89" s="6" t="s">
        <v>34</v>
      </c>
      <c r="K89" s="6" t="s">
        <v>401</v>
      </c>
      <c r="L89" s="13" t="n">
        <v>46195</v>
      </c>
      <c r="M89" s="6" t="n">
        <v>1</v>
      </c>
      <c r="N89" s="13" t="n">
        <v>46196</v>
      </c>
      <c r="O89" s="6" t="n">
        <v>1</v>
      </c>
      <c r="P89" s="6" t="s">
        <v>489</v>
      </c>
      <c r="Q89" s="8" t="n">
        <v>10400</v>
      </c>
      <c r="R89" s="6" t="s">
        <v>89</v>
      </c>
      <c r="S89" s="8" t="n">
        <f aca="false">IF(Q89="","",IF(R89="EUR",ROUND(Q89*Параметры!$B$3,0),Q89))</f>
        <v>10400</v>
      </c>
      <c r="T89" s="6" t="s">
        <v>15</v>
      </c>
      <c r="U89" s="6" t="s">
        <v>490</v>
      </c>
      <c r="V89" s="13" t="n">
        <v>46198</v>
      </c>
      <c r="W89" s="6" t="n">
        <f aca="false">IF(T89="Оплачено",1,0)</f>
        <v>1</v>
      </c>
      <c r="X89" s="6" t="n">
        <f aca="false">IF(OR(T89="Не дозвонились",Y89=0),0,1)</f>
        <v>1</v>
      </c>
      <c r="Y89" s="6" t="n">
        <v>1</v>
      </c>
      <c r="Z89" s="6"/>
      <c r="AA89" s="6"/>
      <c r="AB89" s="6"/>
    </row>
    <row r="90" customFormat="false" ht="15" hidden="false" customHeight="false" outlineLevel="0" collapsed="false">
      <c r="A90" s="6" t="n">
        <v>89</v>
      </c>
      <c r="B90" s="6" t="s">
        <v>29</v>
      </c>
      <c r="C90" s="6" t="s">
        <v>491</v>
      </c>
      <c r="D90" s="13" t="n">
        <v>46191</v>
      </c>
      <c r="E90" s="6" t="n">
        <f aca="false">MONTH(D90)</f>
        <v>6</v>
      </c>
      <c r="F90" s="6" t="s">
        <v>492</v>
      </c>
      <c r="G90" s="6" t="s">
        <v>493</v>
      </c>
      <c r="H90" s="6" t="s">
        <v>266</v>
      </c>
      <c r="I90" s="6" t="s">
        <v>35</v>
      </c>
      <c r="J90" s="6" t="s">
        <v>35</v>
      </c>
      <c r="K90" s="6" t="s">
        <v>318</v>
      </c>
      <c r="L90" s="13"/>
      <c r="M90" s="6" t="n">
        <v>0</v>
      </c>
      <c r="N90" s="13"/>
      <c r="O90" s="6" t="n">
        <v>0</v>
      </c>
      <c r="P90" s="6"/>
      <c r="Q90" s="8"/>
      <c r="R90" s="6"/>
      <c r="S90" s="8" t="str">
        <f aca="false">IF(Q90="","",IF(R90="EUR",ROUND(Q90*Параметры!$B$3,0),Q90))</f>
        <v/>
      </c>
      <c r="T90" s="6" t="s">
        <v>71</v>
      </c>
      <c r="U90" s="6" t="s">
        <v>301</v>
      </c>
      <c r="V90" s="13"/>
      <c r="W90" s="6" t="n">
        <f aca="false">IF(T90="Оплачено",1,0)</f>
        <v>0</v>
      </c>
      <c r="X90" s="6" t="n">
        <f aca="false">IF(OR(T90="Не дозвонились",Y90=0),0,1)</f>
        <v>1</v>
      </c>
      <c r="Y90" s="6" t="n">
        <v>1</v>
      </c>
      <c r="Z90" s="6"/>
      <c r="AA90" s="6"/>
      <c r="AB90" s="6" t="s">
        <v>494</v>
      </c>
    </row>
    <row r="91" customFormat="false" ht="15" hidden="false" customHeight="false" outlineLevel="0" collapsed="false">
      <c r="A91" s="14" t="n">
        <v>90</v>
      </c>
      <c r="B91" s="14" t="s">
        <v>29</v>
      </c>
      <c r="C91" s="14" t="s">
        <v>495</v>
      </c>
      <c r="D91" s="15" t="n">
        <v>46191</v>
      </c>
      <c r="E91" s="14" t="n">
        <f aca="false">MONTH(D91)</f>
        <v>6</v>
      </c>
      <c r="F91" s="14" t="s">
        <v>496</v>
      </c>
      <c r="G91" s="14" t="s">
        <v>417</v>
      </c>
      <c r="H91" s="14" t="s">
        <v>266</v>
      </c>
      <c r="I91" s="14" t="s">
        <v>37</v>
      </c>
      <c r="J91" s="14" t="s">
        <v>115</v>
      </c>
      <c r="K91" s="14" t="s">
        <v>143</v>
      </c>
      <c r="L91" s="15"/>
      <c r="M91" s="14" t="n">
        <v>0</v>
      </c>
      <c r="N91" s="15"/>
      <c r="O91" s="14" t="n">
        <v>0</v>
      </c>
      <c r="P91" s="14"/>
      <c r="Q91" s="16"/>
      <c r="R91" s="14"/>
      <c r="S91" s="16" t="str">
        <f aca="false">IF(Q91="","",IF(R91="EUR",ROUND(Q91*Параметры!$B$3,0),Q91))</f>
        <v/>
      </c>
      <c r="T91" s="14" t="s">
        <v>497</v>
      </c>
      <c r="U91" s="14" t="s">
        <v>498</v>
      </c>
      <c r="V91" s="15"/>
      <c r="W91" s="14" t="n">
        <f aca="false">IF(T91="Оплачено",1,0)</f>
        <v>0</v>
      </c>
      <c r="X91" s="14" t="n">
        <f aca="false">IF(OR(T91="Не дозвонились",Y91=0),0,1)</f>
        <v>0</v>
      </c>
      <c r="Y91" s="14" t="n">
        <v>0</v>
      </c>
      <c r="Z91" s="14" t="s">
        <v>499</v>
      </c>
      <c r="AA91" s="14"/>
      <c r="AB91" s="14"/>
    </row>
    <row r="92" customFormat="false" ht="15" hidden="false" customHeight="false" outlineLevel="0" collapsed="false">
      <c r="A92" s="6" t="n">
        <v>91</v>
      </c>
      <c r="B92" s="6" t="s">
        <v>30</v>
      </c>
      <c r="C92" s="6" t="s">
        <v>500</v>
      </c>
      <c r="D92" s="13" t="n">
        <v>46191</v>
      </c>
      <c r="E92" s="6" t="n">
        <f aca="false">MONTH(D92)</f>
        <v>6</v>
      </c>
      <c r="F92" s="6" t="s">
        <v>501</v>
      </c>
      <c r="G92" s="6" t="s">
        <v>502</v>
      </c>
      <c r="H92" s="6" t="s">
        <v>77</v>
      </c>
      <c r="I92" s="6" t="s">
        <v>37</v>
      </c>
      <c r="J92" s="6" t="s">
        <v>86</v>
      </c>
      <c r="K92" s="6" t="s">
        <v>149</v>
      </c>
      <c r="L92" s="13" t="n">
        <v>46197</v>
      </c>
      <c r="M92" s="6" t="n">
        <v>1</v>
      </c>
      <c r="N92" s="13"/>
      <c r="O92" s="6" t="n">
        <v>0</v>
      </c>
      <c r="P92" s="6"/>
      <c r="Q92" s="8"/>
      <c r="R92" s="6"/>
      <c r="S92" s="8" t="str">
        <f aca="false">IF(Q92="","",IF(R92="EUR",ROUND(Q92*Параметры!$B$3,0),Q92))</f>
        <v/>
      </c>
      <c r="T92" s="6" t="s">
        <v>150</v>
      </c>
      <c r="U92" s="6" t="s">
        <v>151</v>
      </c>
      <c r="V92" s="13"/>
      <c r="W92" s="6" t="n">
        <f aca="false">IF(T92="Оплачено",1,0)</f>
        <v>0</v>
      </c>
      <c r="X92" s="6" t="n">
        <f aca="false">IF(OR(T92="Не дозвонились",Y92=0),0,1)</f>
        <v>1</v>
      </c>
      <c r="Y92" s="6" t="n">
        <v>1</v>
      </c>
      <c r="Z92" s="6"/>
      <c r="AA92" s="6"/>
      <c r="AB92" s="6" t="s">
        <v>503</v>
      </c>
    </row>
    <row r="93" customFormat="false" ht="15" hidden="false" customHeight="false" outlineLevel="0" collapsed="false">
      <c r="A93" s="6" t="n">
        <v>92</v>
      </c>
      <c r="B93" s="6" t="s">
        <v>29</v>
      </c>
      <c r="C93" s="6" t="s">
        <v>504</v>
      </c>
      <c r="D93" s="13" t="n">
        <v>46192</v>
      </c>
      <c r="E93" s="6" t="n">
        <f aca="false">MONTH(D93)</f>
        <v>6</v>
      </c>
      <c r="F93" s="6" t="s">
        <v>505</v>
      </c>
      <c r="G93" s="6" t="s">
        <v>506</v>
      </c>
      <c r="H93" s="6" t="s">
        <v>298</v>
      </c>
      <c r="I93" s="6" t="s">
        <v>34</v>
      </c>
      <c r="J93" s="6" t="s">
        <v>383</v>
      </c>
      <c r="K93" s="6" t="s">
        <v>143</v>
      </c>
      <c r="L93" s="13"/>
      <c r="M93" s="6" t="n">
        <v>0</v>
      </c>
      <c r="N93" s="13"/>
      <c r="O93" s="6" t="n">
        <v>0</v>
      </c>
      <c r="P93" s="6"/>
      <c r="Q93" s="8"/>
      <c r="R93" s="6"/>
      <c r="S93" s="8" t="str">
        <f aca="false">IF(Q93="","",IF(R93="EUR",ROUND(Q93*Параметры!$B$3,0),Q93))</f>
        <v/>
      </c>
      <c r="T93" s="6" t="s">
        <v>71</v>
      </c>
      <c r="U93" s="6" t="s">
        <v>72</v>
      </c>
      <c r="V93" s="13"/>
      <c r="W93" s="6" t="n">
        <f aca="false">IF(T93="Оплачено",1,0)</f>
        <v>0</v>
      </c>
      <c r="X93" s="6" t="n">
        <f aca="false">IF(OR(T93="Не дозвонились",Y93=0),0,1)</f>
        <v>1</v>
      </c>
      <c r="Y93" s="6" t="n">
        <v>1</v>
      </c>
      <c r="Z93" s="6"/>
      <c r="AA93" s="6"/>
      <c r="AB93" s="6" t="s">
        <v>235</v>
      </c>
    </row>
    <row r="94" customFormat="false" ht="15" hidden="false" customHeight="false" outlineLevel="0" collapsed="false">
      <c r="A94" s="6" t="n">
        <v>93</v>
      </c>
      <c r="B94" s="6" t="s">
        <v>30</v>
      </c>
      <c r="C94" s="6" t="s">
        <v>507</v>
      </c>
      <c r="D94" s="13" t="n">
        <v>46192</v>
      </c>
      <c r="E94" s="6" t="n">
        <f aca="false">MONTH(D94)</f>
        <v>6</v>
      </c>
      <c r="F94" s="6" t="s">
        <v>508</v>
      </c>
      <c r="G94" s="6"/>
      <c r="H94" s="6" t="s">
        <v>243</v>
      </c>
      <c r="I94" s="6" t="s">
        <v>35</v>
      </c>
      <c r="J94" s="6" t="s">
        <v>276</v>
      </c>
      <c r="K94" s="6" t="s">
        <v>133</v>
      </c>
      <c r="L94" s="13" t="n">
        <v>46195</v>
      </c>
      <c r="M94" s="6" t="n">
        <v>1</v>
      </c>
      <c r="N94" s="13" t="n">
        <v>46201</v>
      </c>
      <c r="O94" s="6" t="n">
        <v>1</v>
      </c>
      <c r="P94" s="6" t="s">
        <v>509</v>
      </c>
      <c r="Q94" s="8" t="n">
        <v>19000</v>
      </c>
      <c r="R94" s="6" t="s">
        <v>89</v>
      </c>
      <c r="S94" s="8" t="n">
        <f aca="false">IF(Q94="","",IF(R94="EUR",ROUND(Q94*Параметры!$B$3,0),Q94))</f>
        <v>19000</v>
      </c>
      <c r="T94" s="6" t="s">
        <v>15</v>
      </c>
      <c r="U94" s="6" t="s">
        <v>187</v>
      </c>
      <c r="V94" s="13" t="n">
        <v>46215</v>
      </c>
      <c r="W94" s="6" t="n">
        <f aca="false">IF(T94="Оплачено",1,0)</f>
        <v>1</v>
      </c>
      <c r="X94" s="6" t="n">
        <f aca="false">IF(OR(T94="Не дозвонились",Y94=0),0,1)</f>
        <v>1</v>
      </c>
      <c r="Y94" s="6" t="n">
        <v>1</v>
      </c>
      <c r="Z94" s="6"/>
      <c r="AA94" s="6" t="s">
        <v>510</v>
      </c>
      <c r="AB94" s="6" t="s">
        <v>226</v>
      </c>
    </row>
    <row r="95" customFormat="false" ht="15" hidden="false" customHeight="false" outlineLevel="0" collapsed="false">
      <c r="A95" s="6" t="n">
        <v>94</v>
      </c>
      <c r="B95" s="6" t="s">
        <v>28</v>
      </c>
      <c r="C95" s="6" t="s">
        <v>511</v>
      </c>
      <c r="D95" s="13" t="n">
        <v>46193</v>
      </c>
      <c r="E95" s="6" t="n">
        <f aca="false">MONTH(D95)</f>
        <v>6</v>
      </c>
      <c r="F95" s="6" t="s">
        <v>512</v>
      </c>
      <c r="G95" s="6" t="s">
        <v>513</v>
      </c>
      <c r="H95" s="6" t="s">
        <v>103</v>
      </c>
      <c r="I95" s="6" t="s">
        <v>36</v>
      </c>
      <c r="J95" s="6" t="s">
        <v>253</v>
      </c>
      <c r="K95" s="6" t="s">
        <v>162</v>
      </c>
      <c r="L95" s="13" t="n">
        <v>46195</v>
      </c>
      <c r="M95" s="6" t="n">
        <v>1</v>
      </c>
      <c r="N95" s="13" t="n">
        <v>46204</v>
      </c>
      <c r="O95" s="6" t="n">
        <v>1</v>
      </c>
      <c r="P95" s="6" t="s">
        <v>514</v>
      </c>
      <c r="Q95" s="8" t="n">
        <v>17500</v>
      </c>
      <c r="R95" s="6" t="s">
        <v>89</v>
      </c>
      <c r="S95" s="8" t="n">
        <f aca="false">IF(Q95="","",IF(R95="EUR",ROUND(Q95*Параметры!$B$3,0),Q95))</f>
        <v>17500</v>
      </c>
      <c r="T95" s="6" t="s">
        <v>71</v>
      </c>
      <c r="U95" s="6" t="s">
        <v>71</v>
      </c>
      <c r="V95" s="13"/>
      <c r="W95" s="6" t="n">
        <f aca="false">IF(T95="Оплачено",1,0)</f>
        <v>0</v>
      </c>
      <c r="X95" s="6" t="n">
        <f aca="false">IF(OR(T95="Не дозвонились",Y95=0),0,1)</f>
        <v>1</v>
      </c>
      <c r="Y95" s="6" t="n">
        <v>1</v>
      </c>
      <c r="Z95" s="6"/>
      <c r="AA95" s="6"/>
      <c r="AB95" s="6" t="s">
        <v>515</v>
      </c>
    </row>
    <row r="96" customFormat="false" ht="15" hidden="false" customHeight="false" outlineLevel="0" collapsed="false">
      <c r="A96" s="6" t="n">
        <v>95</v>
      </c>
      <c r="B96" s="6" t="s">
        <v>28</v>
      </c>
      <c r="C96" s="6" t="s">
        <v>516</v>
      </c>
      <c r="D96" s="13" t="n">
        <v>46193</v>
      </c>
      <c r="E96" s="6" t="n">
        <f aca="false">MONTH(D96)</f>
        <v>6</v>
      </c>
      <c r="F96" s="6" t="s">
        <v>517</v>
      </c>
      <c r="G96" s="6" t="s">
        <v>518</v>
      </c>
      <c r="H96" s="6" t="s">
        <v>197</v>
      </c>
      <c r="I96" s="6" t="s">
        <v>37</v>
      </c>
      <c r="J96" s="6" t="s">
        <v>313</v>
      </c>
      <c r="K96" s="6" t="s">
        <v>202</v>
      </c>
      <c r="L96" s="13" t="n">
        <v>46199</v>
      </c>
      <c r="M96" s="6" t="n">
        <v>1</v>
      </c>
      <c r="N96" s="13" t="n">
        <v>46199</v>
      </c>
      <c r="O96" s="6" t="n">
        <v>1</v>
      </c>
      <c r="P96" s="6" t="s">
        <v>186</v>
      </c>
      <c r="Q96" s="8" t="n">
        <v>21500</v>
      </c>
      <c r="R96" s="6" t="s">
        <v>89</v>
      </c>
      <c r="S96" s="8" t="n">
        <f aca="false">IF(Q96="","",IF(R96="EUR",ROUND(Q96*Параметры!$B$3,0),Q96))</f>
        <v>21500</v>
      </c>
      <c r="T96" s="6" t="s">
        <v>15</v>
      </c>
      <c r="U96" s="6" t="s">
        <v>15</v>
      </c>
      <c r="V96" s="13" t="n">
        <v>46202</v>
      </c>
      <c r="W96" s="6" t="n">
        <f aca="false">IF(T96="Оплачено",1,0)</f>
        <v>1</v>
      </c>
      <c r="X96" s="6" t="n">
        <f aca="false">IF(OR(T96="Не дозвонились",Y96=0),0,1)</f>
        <v>1</v>
      </c>
      <c r="Y96" s="6" t="n">
        <v>1</v>
      </c>
      <c r="Z96" s="6"/>
      <c r="AA96" s="6"/>
      <c r="AB96" s="6" t="s">
        <v>519</v>
      </c>
    </row>
    <row r="97" customFormat="false" ht="15" hidden="false" customHeight="false" outlineLevel="0" collapsed="false">
      <c r="A97" s="6" t="n">
        <v>96</v>
      </c>
      <c r="B97" s="6" t="s">
        <v>28</v>
      </c>
      <c r="C97" s="6" t="s">
        <v>520</v>
      </c>
      <c r="D97" s="13" t="n">
        <v>46193</v>
      </c>
      <c r="E97" s="6" t="n">
        <f aca="false">MONTH(D97)</f>
        <v>6</v>
      </c>
      <c r="F97" s="6" t="s">
        <v>521</v>
      </c>
      <c r="G97" s="6" t="s">
        <v>522</v>
      </c>
      <c r="H97" s="6" t="s">
        <v>184</v>
      </c>
      <c r="I97" s="6" t="s">
        <v>35</v>
      </c>
      <c r="J97" s="6" t="s">
        <v>35</v>
      </c>
      <c r="K97" s="6" t="s">
        <v>162</v>
      </c>
      <c r="L97" s="13"/>
      <c r="M97" s="6" t="n">
        <v>0</v>
      </c>
      <c r="N97" s="13"/>
      <c r="O97" s="6" t="n">
        <v>0</v>
      </c>
      <c r="P97" s="6"/>
      <c r="Q97" s="8"/>
      <c r="R97" s="6"/>
      <c r="S97" s="8" t="str">
        <f aca="false">IF(Q97="","",IF(R97="EUR",ROUND(Q97*Параметры!$B$3,0),Q97))</f>
        <v/>
      </c>
      <c r="T97" s="6" t="s">
        <v>80</v>
      </c>
      <c r="U97" s="6" t="s">
        <v>163</v>
      </c>
      <c r="V97" s="13"/>
      <c r="W97" s="6" t="n">
        <f aca="false">IF(T97="Оплачено",1,0)</f>
        <v>0</v>
      </c>
      <c r="X97" s="6" t="n">
        <f aca="false">IF(OR(T97="Не дозвонились",Y97=0),0,1)</f>
        <v>0</v>
      </c>
      <c r="Y97" s="6" t="n">
        <v>1</v>
      </c>
      <c r="Z97" s="6"/>
      <c r="AA97" s="6"/>
      <c r="AB97" s="6"/>
    </row>
    <row r="98" customFormat="false" ht="15" hidden="false" customHeight="false" outlineLevel="0" collapsed="false">
      <c r="A98" s="6" t="n">
        <v>97</v>
      </c>
      <c r="B98" s="6" t="s">
        <v>28</v>
      </c>
      <c r="C98" s="6" t="s">
        <v>523</v>
      </c>
      <c r="D98" s="13" t="n">
        <v>46193</v>
      </c>
      <c r="E98" s="6" t="n">
        <f aca="false">MONTH(D98)</f>
        <v>6</v>
      </c>
      <c r="F98" s="6" t="s">
        <v>524</v>
      </c>
      <c r="G98" s="6" t="s">
        <v>525</v>
      </c>
      <c r="H98" s="6" t="s">
        <v>286</v>
      </c>
      <c r="I98" s="6" t="s">
        <v>34</v>
      </c>
      <c r="J98" s="6" t="s">
        <v>34</v>
      </c>
      <c r="K98" s="6" t="s">
        <v>156</v>
      </c>
      <c r="L98" s="13" t="n">
        <v>46194</v>
      </c>
      <c r="M98" s="6" t="n">
        <v>1</v>
      </c>
      <c r="N98" s="13" t="n">
        <v>46201</v>
      </c>
      <c r="O98" s="6" t="n">
        <v>1</v>
      </c>
      <c r="P98" s="6" t="s">
        <v>526</v>
      </c>
      <c r="Q98" s="8" t="n">
        <v>33600</v>
      </c>
      <c r="R98" s="6" t="s">
        <v>89</v>
      </c>
      <c r="S98" s="8" t="n">
        <f aca="false">IF(Q98="","",IF(R98="EUR",ROUND(Q98*Параметры!$B$3,0),Q98))</f>
        <v>33600</v>
      </c>
      <c r="T98" s="6" t="s">
        <v>71</v>
      </c>
      <c r="U98" s="6" t="s">
        <v>71</v>
      </c>
      <c r="V98" s="13"/>
      <c r="W98" s="6" t="n">
        <f aca="false">IF(T98="Оплачено",1,0)</f>
        <v>0</v>
      </c>
      <c r="X98" s="6" t="n">
        <f aca="false">IF(OR(T98="Не дозвонились",Y98=0),0,1)</f>
        <v>1</v>
      </c>
      <c r="Y98" s="6" t="n">
        <v>1</v>
      </c>
      <c r="Z98" s="6"/>
      <c r="AA98" s="6"/>
      <c r="AB98" s="6" t="s">
        <v>204</v>
      </c>
    </row>
    <row r="99" customFormat="false" ht="15" hidden="false" customHeight="false" outlineLevel="0" collapsed="false">
      <c r="A99" s="6" t="n">
        <v>98</v>
      </c>
      <c r="B99" s="6" t="s">
        <v>29</v>
      </c>
      <c r="C99" s="6" t="s">
        <v>527</v>
      </c>
      <c r="D99" s="13" t="n">
        <v>46193</v>
      </c>
      <c r="E99" s="6" t="n">
        <f aca="false">MONTH(D99)</f>
        <v>6</v>
      </c>
      <c r="F99" s="6" t="s">
        <v>528</v>
      </c>
      <c r="G99" s="6" t="s">
        <v>529</v>
      </c>
      <c r="H99" s="6" t="s">
        <v>266</v>
      </c>
      <c r="I99" s="6" t="s">
        <v>34</v>
      </c>
      <c r="J99" s="6" t="s">
        <v>383</v>
      </c>
      <c r="K99" s="6" t="s">
        <v>128</v>
      </c>
      <c r="L99" s="13"/>
      <c r="M99" s="6" t="n">
        <v>0</v>
      </c>
      <c r="N99" s="13"/>
      <c r="O99" s="6" t="n">
        <v>0</v>
      </c>
      <c r="P99" s="6"/>
      <c r="Q99" s="8"/>
      <c r="R99" s="6"/>
      <c r="S99" s="8" t="str">
        <f aca="false">IF(Q99="","",IF(R99="EUR",ROUND(Q99*Параметры!$B$3,0),Q99))</f>
        <v/>
      </c>
      <c r="T99" s="6" t="s">
        <v>71</v>
      </c>
      <c r="U99" s="6" t="s">
        <v>301</v>
      </c>
      <c r="V99" s="13"/>
      <c r="W99" s="6" t="n">
        <f aca="false">IF(T99="Оплачено",1,0)</f>
        <v>0</v>
      </c>
      <c r="X99" s="6" t="n">
        <f aca="false">IF(OR(T99="Не дозвонились",Y99=0),0,1)</f>
        <v>1</v>
      </c>
      <c r="Y99" s="6" t="n">
        <v>1</v>
      </c>
      <c r="Z99" s="6"/>
      <c r="AA99" s="6"/>
      <c r="AB99" s="6" t="s">
        <v>180</v>
      </c>
    </row>
    <row r="100" customFormat="false" ht="15" hidden="false" customHeight="false" outlineLevel="0" collapsed="false">
      <c r="A100" s="6" t="n">
        <v>99</v>
      </c>
      <c r="B100" s="6" t="s">
        <v>29</v>
      </c>
      <c r="C100" s="6" t="s">
        <v>530</v>
      </c>
      <c r="D100" s="13" t="n">
        <v>46193</v>
      </c>
      <c r="E100" s="6" t="n">
        <f aca="false">MONTH(D100)</f>
        <v>6</v>
      </c>
      <c r="F100" s="6" t="s">
        <v>531</v>
      </c>
      <c r="G100" s="6" t="s">
        <v>532</v>
      </c>
      <c r="H100" s="6" t="s">
        <v>481</v>
      </c>
      <c r="I100" s="6" t="s">
        <v>34</v>
      </c>
      <c r="J100" s="6" t="s">
        <v>383</v>
      </c>
      <c r="K100" s="6" t="s">
        <v>344</v>
      </c>
      <c r="L100" s="13"/>
      <c r="M100" s="6" t="n">
        <v>0</v>
      </c>
      <c r="N100" s="13"/>
      <c r="O100" s="6" t="n">
        <v>0</v>
      </c>
      <c r="P100" s="6"/>
      <c r="Q100" s="8"/>
      <c r="R100" s="6"/>
      <c r="S100" s="8" t="str">
        <f aca="false">IF(Q100="","",IF(R100="EUR",ROUND(Q100*Параметры!$B$3,0),Q100))</f>
        <v/>
      </c>
      <c r="T100" s="6" t="s">
        <v>71</v>
      </c>
      <c r="U100" s="6" t="s">
        <v>301</v>
      </c>
      <c r="V100" s="13"/>
      <c r="W100" s="6" t="n">
        <f aca="false">IF(T100="Оплачено",1,0)</f>
        <v>0</v>
      </c>
      <c r="X100" s="6" t="n">
        <f aca="false">IF(OR(T100="Не дозвонились",Y100=0),0,1)</f>
        <v>1</v>
      </c>
      <c r="Y100" s="6" t="n">
        <v>1</v>
      </c>
      <c r="Z100" s="6"/>
      <c r="AA100" s="6"/>
      <c r="AB100" s="6" t="s">
        <v>226</v>
      </c>
    </row>
    <row r="101" customFormat="false" ht="15" hidden="false" customHeight="false" outlineLevel="0" collapsed="false">
      <c r="A101" s="6" t="n">
        <v>100</v>
      </c>
      <c r="B101" s="6" t="s">
        <v>30</v>
      </c>
      <c r="C101" s="6" t="s">
        <v>533</v>
      </c>
      <c r="D101" s="13" t="n">
        <v>46193</v>
      </c>
      <c r="E101" s="6" t="n">
        <f aca="false">MONTH(D101)</f>
        <v>6</v>
      </c>
      <c r="F101" s="6" t="s">
        <v>534</v>
      </c>
      <c r="G101" s="6" t="s">
        <v>535</v>
      </c>
      <c r="H101" s="6" t="s">
        <v>161</v>
      </c>
      <c r="I101" s="6" t="s">
        <v>34</v>
      </c>
      <c r="J101" s="6" t="s">
        <v>273</v>
      </c>
      <c r="K101" s="6" t="s">
        <v>536</v>
      </c>
      <c r="L101" s="13"/>
      <c r="M101" s="6" t="n">
        <v>0</v>
      </c>
      <c r="N101" s="13"/>
      <c r="O101" s="6" t="n">
        <v>0</v>
      </c>
      <c r="P101" s="6"/>
      <c r="Q101" s="8"/>
      <c r="R101" s="6"/>
      <c r="S101" s="8" t="str">
        <f aca="false">IF(Q101="","",IF(R101="EUR",ROUND(Q101*Параметры!$B$3,0),Q101))</f>
        <v/>
      </c>
      <c r="T101" s="6" t="s">
        <v>71</v>
      </c>
      <c r="U101" s="6" t="s">
        <v>225</v>
      </c>
      <c r="V101" s="13"/>
      <c r="W101" s="6" t="n">
        <f aca="false">IF(T101="Оплачено",1,0)</f>
        <v>0</v>
      </c>
      <c r="X101" s="6" t="n">
        <f aca="false">IF(OR(T101="Не дозвонились",Y101=0),0,1)</f>
        <v>1</v>
      </c>
      <c r="Y101" s="6" t="n">
        <v>1</v>
      </c>
      <c r="Z101" s="6"/>
      <c r="AA101" s="6"/>
      <c r="AB101" s="6" t="s">
        <v>209</v>
      </c>
    </row>
    <row r="102" customFormat="false" ht="15" hidden="false" customHeight="false" outlineLevel="0" collapsed="false">
      <c r="A102" s="6" t="n">
        <v>101</v>
      </c>
      <c r="B102" s="6" t="s">
        <v>30</v>
      </c>
      <c r="C102" s="6" t="s">
        <v>537</v>
      </c>
      <c r="D102" s="13" t="n">
        <v>46193</v>
      </c>
      <c r="E102" s="6" t="n">
        <f aca="false">MONTH(D102)</f>
        <v>6</v>
      </c>
      <c r="F102" s="6" t="s">
        <v>538</v>
      </c>
      <c r="G102" s="6"/>
      <c r="H102" s="6" t="s">
        <v>161</v>
      </c>
      <c r="I102" s="6" t="s">
        <v>38</v>
      </c>
      <c r="J102" s="6" t="s">
        <v>78</v>
      </c>
      <c r="K102" s="6" t="s">
        <v>281</v>
      </c>
      <c r="L102" s="13" t="n">
        <v>46194</v>
      </c>
      <c r="M102" s="6" t="n">
        <v>1</v>
      </c>
      <c r="N102" s="13" t="n">
        <v>46200</v>
      </c>
      <c r="O102" s="6" t="n">
        <v>1</v>
      </c>
      <c r="P102" s="6" t="s">
        <v>539</v>
      </c>
      <c r="Q102" s="8" t="n">
        <v>8700</v>
      </c>
      <c r="R102" s="6" t="s">
        <v>89</v>
      </c>
      <c r="S102" s="8" t="n">
        <f aca="false">IF(Q102="","",IF(R102="EUR",ROUND(Q102*Параметры!$B$3,0),Q102))</f>
        <v>8700</v>
      </c>
      <c r="T102" s="6" t="s">
        <v>71</v>
      </c>
      <c r="U102" s="6" t="s">
        <v>225</v>
      </c>
      <c r="V102" s="13"/>
      <c r="W102" s="6" t="n">
        <f aca="false">IF(T102="Оплачено",1,0)</f>
        <v>0</v>
      </c>
      <c r="X102" s="6" t="n">
        <f aca="false">IF(OR(T102="Не дозвонились",Y102=0),0,1)</f>
        <v>1</v>
      </c>
      <c r="Y102" s="6" t="n">
        <v>1</v>
      </c>
      <c r="Z102" s="6"/>
      <c r="AA102" s="6"/>
      <c r="AB102" s="6" t="s">
        <v>258</v>
      </c>
    </row>
    <row r="103" customFormat="false" ht="15" hidden="false" customHeight="false" outlineLevel="0" collapsed="false">
      <c r="A103" s="6" t="n">
        <v>102</v>
      </c>
      <c r="B103" s="6" t="s">
        <v>30</v>
      </c>
      <c r="C103" s="6" t="s">
        <v>540</v>
      </c>
      <c r="D103" s="13" t="n">
        <v>46193</v>
      </c>
      <c r="E103" s="6" t="n">
        <f aca="false">MONTH(D103)</f>
        <v>6</v>
      </c>
      <c r="F103" s="6" t="s">
        <v>541</v>
      </c>
      <c r="G103" s="6" t="s">
        <v>542</v>
      </c>
      <c r="H103" s="6" t="s">
        <v>243</v>
      </c>
      <c r="I103" s="6" t="s">
        <v>36</v>
      </c>
      <c r="J103" s="6" t="s">
        <v>543</v>
      </c>
      <c r="K103" s="6" t="s">
        <v>179</v>
      </c>
      <c r="L103" s="13" t="n">
        <v>46194</v>
      </c>
      <c r="M103" s="6" t="n">
        <v>1</v>
      </c>
      <c r="N103" s="13"/>
      <c r="O103" s="6" t="n">
        <v>0</v>
      </c>
      <c r="P103" s="6"/>
      <c r="Q103" s="8"/>
      <c r="R103" s="6"/>
      <c r="S103" s="8" t="str">
        <f aca="false">IF(Q103="","",IF(R103="EUR",ROUND(Q103*Параметры!$B$3,0),Q103))</f>
        <v/>
      </c>
      <c r="T103" s="6" t="s">
        <v>71</v>
      </c>
      <c r="U103" s="6" t="s">
        <v>225</v>
      </c>
      <c r="V103" s="13"/>
      <c r="W103" s="6" t="n">
        <f aca="false">IF(T103="Оплачено",1,0)</f>
        <v>0</v>
      </c>
      <c r="X103" s="6" t="n">
        <f aca="false">IF(OR(T103="Не дозвонились",Y103=0),0,1)</f>
        <v>1</v>
      </c>
      <c r="Y103" s="6" t="n">
        <v>1</v>
      </c>
      <c r="Z103" s="6"/>
      <c r="AA103" s="6"/>
      <c r="AB103" s="6" t="s">
        <v>544</v>
      </c>
    </row>
    <row r="104" customFormat="false" ht="15" hidden="false" customHeight="false" outlineLevel="0" collapsed="false">
      <c r="A104" s="6" t="n">
        <v>103</v>
      </c>
      <c r="B104" s="6" t="s">
        <v>28</v>
      </c>
      <c r="C104" s="6" t="s">
        <v>545</v>
      </c>
      <c r="D104" s="13" t="n">
        <v>46194</v>
      </c>
      <c r="E104" s="6" t="n">
        <f aca="false">MONTH(D104)</f>
        <v>6</v>
      </c>
      <c r="F104" s="6" t="s">
        <v>546</v>
      </c>
      <c r="G104" s="6" t="s">
        <v>547</v>
      </c>
      <c r="H104" s="6" t="s">
        <v>324</v>
      </c>
      <c r="I104" s="6" t="s">
        <v>36</v>
      </c>
      <c r="J104" s="6" t="s">
        <v>36</v>
      </c>
      <c r="K104" s="6" t="s">
        <v>202</v>
      </c>
      <c r="L104" s="13"/>
      <c r="M104" s="6" t="n">
        <v>0</v>
      </c>
      <c r="N104" s="13"/>
      <c r="O104" s="6" t="n">
        <v>0</v>
      </c>
      <c r="P104" s="6"/>
      <c r="Q104" s="8"/>
      <c r="R104" s="6"/>
      <c r="S104" s="8" t="str">
        <f aca="false">IF(Q104="","",IF(R104="EUR",ROUND(Q104*Параметры!$B$3,0),Q104))</f>
        <v/>
      </c>
      <c r="T104" s="6" t="s">
        <v>71</v>
      </c>
      <c r="U104" s="6" t="s">
        <v>71</v>
      </c>
      <c r="V104" s="13"/>
      <c r="W104" s="6" t="n">
        <f aca="false">IF(T104="Оплачено",1,0)</f>
        <v>0</v>
      </c>
      <c r="X104" s="6" t="n">
        <f aca="false">IF(OR(T104="Не дозвонились",Y104=0),0,1)</f>
        <v>1</v>
      </c>
      <c r="Y104" s="6" t="n">
        <v>1</v>
      </c>
      <c r="Z104" s="6"/>
      <c r="AA104" s="6"/>
      <c r="AB104" s="6" t="s">
        <v>209</v>
      </c>
    </row>
    <row r="105" customFormat="false" ht="15" hidden="false" customHeight="false" outlineLevel="0" collapsed="false">
      <c r="A105" s="6" t="n">
        <v>104</v>
      </c>
      <c r="B105" s="6" t="s">
        <v>28</v>
      </c>
      <c r="C105" s="6" t="s">
        <v>548</v>
      </c>
      <c r="D105" s="13" t="n">
        <v>46194</v>
      </c>
      <c r="E105" s="6" t="n">
        <f aca="false">MONTH(D105)</f>
        <v>6</v>
      </c>
      <c r="F105" s="6" t="s">
        <v>549</v>
      </c>
      <c r="G105" s="6" t="s">
        <v>550</v>
      </c>
      <c r="H105" s="6" t="s">
        <v>155</v>
      </c>
      <c r="I105" s="6" t="s">
        <v>34</v>
      </c>
      <c r="J105" s="6" t="s">
        <v>34</v>
      </c>
      <c r="K105" s="6" t="s">
        <v>202</v>
      </c>
      <c r="L105" s="13"/>
      <c r="M105" s="6" t="n">
        <v>0</v>
      </c>
      <c r="N105" s="13"/>
      <c r="O105" s="6" t="n">
        <v>0</v>
      </c>
      <c r="P105" s="6"/>
      <c r="Q105" s="8"/>
      <c r="R105" s="6"/>
      <c r="S105" s="8" t="str">
        <f aca="false">IF(Q105="","",IF(R105="EUR",ROUND(Q105*Параметры!$B$3,0),Q105))</f>
        <v/>
      </c>
      <c r="T105" s="6" t="s">
        <v>71</v>
      </c>
      <c r="U105" s="6" t="s">
        <v>71</v>
      </c>
      <c r="V105" s="13"/>
      <c r="W105" s="6" t="n">
        <f aca="false">IF(T105="Оплачено",1,0)</f>
        <v>0</v>
      </c>
      <c r="X105" s="6" t="n">
        <f aca="false">IF(OR(T105="Не дозвонились",Y105=0),0,1)</f>
        <v>1</v>
      </c>
      <c r="Y105" s="6" t="n">
        <v>1</v>
      </c>
      <c r="Z105" s="6"/>
      <c r="AA105" s="6"/>
      <c r="AB105" s="6"/>
    </row>
    <row r="106" customFormat="false" ht="15" hidden="false" customHeight="false" outlineLevel="0" collapsed="false">
      <c r="A106" s="6" t="n">
        <v>105</v>
      </c>
      <c r="B106" s="6" t="s">
        <v>28</v>
      </c>
      <c r="C106" s="6" t="s">
        <v>551</v>
      </c>
      <c r="D106" s="13" t="n">
        <v>46194</v>
      </c>
      <c r="E106" s="6" t="n">
        <f aca="false">MONTH(D106)</f>
        <v>6</v>
      </c>
      <c r="F106" s="6" t="s">
        <v>552</v>
      </c>
      <c r="G106" s="6" t="s">
        <v>553</v>
      </c>
      <c r="H106" s="6" t="s">
        <v>191</v>
      </c>
      <c r="I106" s="6" t="s">
        <v>36</v>
      </c>
      <c r="J106" s="6" t="s">
        <v>253</v>
      </c>
      <c r="K106" s="6" t="s">
        <v>202</v>
      </c>
      <c r="L106" s="13" t="n">
        <v>46195</v>
      </c>
      <c r="M106" s="6" t="n">
        <v>1</v>
      </c>
      <c r="N106" s="13" t="n">
        <v>46196</v>
      </c>
      <c r="O106" s="6" t="n">
        <v>1</v>
      </c>
      <c r="P106" s="6" t="s">
        <v>554</v>
      </c>
      <c r="Q106" s="8" t="n">
        <v>36900</v>
      </c>
      <c r="R106" s="6" t="s">
        <v>89</v>
      </c>
      <c r="S106" s="8" t="n">
        <f aca="false">IF(Q106="","",IF(R106="EUR",ROUND(Q106*Параметры!$B$3,0),Q106))</f>
        <v>36900</v>
      </c>
      <c r="T106" s="6" t="s">
        <v>15</v>
      </c>
      <c r="U106" s="6" t="s">
        <v>15</v>
      </c>
      <c r="V106" s="13" t="n">
        <v>46205</v>
      </c>
      <c r="W106" s="6" t="n">
        <f aca="false">IF(T106="Оплачено",1,0)</f>
        <v>1</v>
      </c>
      <c r="X106" s="6" t="n">
        <f aca="false">IF(OR(T106="Не дозвонились",Y106=0),0,1)</f>
        <v>1</v>
      </c>
      <c r="Y106" s="6" t="n">
        <v>1</v>
      </c>
      <c r="Z106" s="6"/>
      <c r="AA106" s="6"/>
      <c r="AB106" s="6"/>
    </row>
    <row r="107" customFormat="false" ht="15" hidden="false" customHeight="false" outlineLevel="0" collapsed="false">
      <c r="A107" s="6" t="n">
        <v>106</v>
      </c>
      <c r="B107" s="6" t="s">
        <v>30</v>
      </c>
      <c r="C107" s="6" t="s">
        <v>555</v>
      </c>
      <c r="D107" s="13" t="n">
        <v>46194</v>
      </c>
      <c r="E107" s="6" t="n">
        <f aca="false">MONTH(D107)</f>
        <v>6</v>
      </c>
      <c r="F107" s="6" t="s">
        <v>556</v>
      </c>
      <c r="G107" s="6"/>
      <c r="H107" s="6" t="s">
        <v>557</v>
      </c>
      <c r="I107" s="6" t="s">
        <v>34</v>
      </c>
      <c r="J107" s="6" t="s">
        <v>383</v>
      </c>
      <c r="K107" s="6" t="s">
        <v>79</v>
      </c>
      <c r="L107" s="13" t="n">
        <v>46199</v>
      </c>
      <c r="M107" s="6" t="n">
        <v>1</v>
      </c>
      <c r="N107" s="13" t="n">
        <v>46200</v>
      </c>
      <c r="O107" s="6" t="n">
        <v>1</v>
      </c>
      <c r="P107" s="6" t="s">
        <v>558</v>
      </c>
      <c r="Q107" s="8" t="n">
        <v>20300</v>
      </c>
      <c r="R107" s="6" t="s">
        <v>89</v>
      </c>
      <c r="S107" s="8" t="n">
        <f aca="false">IF(Q107="","",IF(R107="EUR",ROUND(Q107*Параметры!$B$3,0),Q107))</f>
        <v>20300</v>
      </c>
      <c r="T107" s="6" t="s">
        <v>71</v>
      </c>
      <c r="U107" s="6" t="s">
        <v>225</v>
      </c>
      <c r="V107" s="13"/>
      <c r="W107" s="6" t="n">
        <f aca="false">IF(T107="Оплачено",1,0)</f>
        <v>0</v>
      </c>
      <c r="X107" s="6" t="n">
        <f aca="false">IF(OR(T107="Не дозвонились",Y107=0),0,1)</f>
        <v>1</v>
      </c>
      <c r="Y107" s="6" t="n">
        <v>1</v>
      </c>
      <c r="Z107" s="6"/>
      <c r="AA107" s="6"/>
      <c r="AB107" s="6"/>
    </row>
    <row r="108" customFormat="false" ht="15" hidden="false" customHeight="false" outlineLevel="0" collapsed="false">
      <c r="A108" s="6" t="n">
        <v>107</v>
      </c>
      <c r="B108" s="6" t="s">
        <v>30</v>
      </c>
      <c r="C108" s="6" t="s">
        <v>559</v>
      </c>
      <c r="D108" s="13" t="n">
        <v>46194</v>
      </c>
      <c r="E108" s="6" t="n">
        <f aca="false">MONTH(D108)</f>
        <v>6</v>
      </c>
      <c r="F108" s="6" t="s">
        <v>560</v>
      </c>
      <c r="G108" s="6"/>
      <c r="H108" s="6" t="s">
        <v>77</v>
      </c>
      <c r="I108" s="6" t="s">
        <v>35</v>
      </c>
      <c r="J108" s="6" t="s">
        <v>148</v>
      </c>
      <c r="K108" s="6" t="s">
        <v>87</v>
      </c>
      <c r="L108" s="13" t="n">
        <v>46197</v>
      </c>
      <c r="M108" s="6" t="n">
        <v>1</v>
      </c>
      <c r="N108" s="13" t="n">
        <v>46203</v>
      </c>
      <c r="O108" s="6" t="n">
        <v>1</v>
      </c>
      <c r="P108" s="6" t="s">
        <v>561</v>
      </c>
      <c r="Q108" s="8" t="n">
        <v>29600</v>
      </c>
      <c r="R108" s="6" t="s">
        <v>89</v>
      </c>
      <c r="S108" s="8" t="n">
        <f aca="false">IF(Q108="","",IF(R108="EUR",ROUND(Q108*Параметры!$B$3,0),Q108))</f>
        <v>29600</v>
      </c>
      <c r="T108" s="6" t="s">
        <v>71</v>
      </c>
      <c r="U108" s="6" t="s">
        <v>72</v>
      </c>
      <c r="V108" s="13"/>
      <c r="W108" s="6" t="n">
        <f aca="false">IF(T108="Оплачено",1,0)</f>
        <v>0</v>
      </c>
      <c r="X108" s="6" t="n">
        <f aca="false">IF(OR(T108="Не дозвонились",Y108=0),0,1)</f>
        <v>1</v>
      </c>
      <c r="Y108" s="6" t="n">
        <v>1</v>
      </c>
      <c r="Z108" s="6"/>
      <c r="AA108" s="6"/>
      <c r="AB108" s="6"/>
    </row>
    <row r="109" customFormat="false" ht="15" hidden="false" customHeight="false" outlineLevel="0" collapsed="false">
      <c r="A109" s="6" t="n">
        <v>108</v>
      </c>
      <c r="B109" s="6" t="s">
        <v>28</v>
      </c>
      <c r="C109" s="6" t="s">
        <v>562</v>
      </c>
      <c r="D109" s="13" t="n">
        <v>46195</v>
      </c>
      <c r="E109" s="6" t="n">
        <f aca="false">MONTH(D109)</f>
        <v>6</v>
      </c>
      <c r="F109" s="6" t="s">
        <v>563</v>
      </c>
      <c r="G109" s="6" t="s">
        <v>564</v>
      </c>
      <c r="H109" s="6" t="s">
        <v>309</v>
      </c>
      <c r="I109" s="6" t="s">
        <v>35</v>
      </c>
      <c r="J109" s="6" t="s">
        <v>35</v>
      </c>
      <c r="K109" s="6" t="s">
        <v>202</v>
      </c>
      <c r="L109" s="13"/>
      <c r="M109" s="6" t="n">
        <v>0</v>
      </c>
      <c r="N109" s="13"/>
      <c r="O109" s="6" t="n">
        <v>0</v>
      </c>
      <c r="P109" s="6"/>
      <c r="Q109" s="8"/>
      <c r="R109" s="6"/>
      <c r="S109" s="8" t="str">
        <f aca="false">IF(Q109="","",IF(R109="EUR",ROUND(Q109*Параметры!$B$3,0),Q109))</f>
        <v/>
      </c>
      <c r="T109" s="6" t="s">
        <v>80</v>
      </c>
      <c r="U109" s="6" t="s">
        <v>163</v>
      </c>
      <c r="V109" s="13"/>
      <c r="W109" s="6" t="n">
        <f aca="false">IF(T109="Оплачено",1,0)</f>
        <v>0</v>
      </c>
      <c r="X109" s="6" t="n">
        <f aca="false">IF(OR(T109="Не дозвонились",Y109=0),0,1)</f>
        <v>0</v>
      </c>
      <c r="Y109" s="6" t="n">
        <v>1</v>
      </c>
      <c r="Z109" s="6"/>
      <c r="AA109" s="6"/>
      <c r="AB109" s="6"/>
    </row>
    <row r="110" customFormat="false" ht="15" hidden="false" customHeight="false" outlineLevel="0" collapsed="false">
      <c r="A110" s="6" t="n">
        <v>109</v>
      </c>
      <c r="B110" s="6" t="s">
        <v>28</v>
      </c>
      <c r="C110" s="6" t="s">
        <v>565</v>
      </c>
      <c r="D110" s="13" t="n">
        <v>46195</v>
      </c>
      <c r="E110" s="6" t="n">
        <f aca="false">MONTH(D110)</f>
        <v>6</v>
      </c>
      <c r="F110" s="6" t="s">
        <v>566</v>
      </c>
      <c r="G110" s="6" t="s">
        <v>567</v>
      </c>
      <c r="H110" s="6" t="s">
        <v>197</v>
      </c>
      <c r="I110" s="6" t="s">
        <v>35</v>
      </c>
      <c r="J110" s="6" t="s">
        <v>35</v>
      </c>
      <c r="K110" s="6" t="s">
        <v>198</v>
      </c>
      <c r="L110" s="13"/>
      <c r="M110" s="6" t="n">
        <v>0</v>
      </c>
      <c r="N110" s="13"/>
      <c r="O110" s="6" t="n">
        <v>0</v>
      </c>
      <c r="P110" s="6"/>
      <c r="Q110" s="8"/>
      <c r="R110" s="6"/>
      <c r="S110" s="8" t="str">
        <f aca="false">IF(Q110="","",IF(R110="EUR",ROUND(Q110*Параметры!$B$3,0),Q110))</f>
        <v/>
      </c>
      <c r="T110" s="6" t="s">
        <v>71</v>
      </c>
      <c r="U110" s="6" t="s">
        <v>71</v>
      </c>
      <c r="V110" s="13"/>
      <c r="W110" s="6" t="n">
        <f aca="false">IF(T110="Оплачено",1,0)</f>
        <v>0</v>
      </c>
      <c r="X110" s="6" t="n">
        <f aca="false">IF(OR(T110="Не дозвонились",Y110=0),0,1)</f>
        <v>1</v>
      </c>
      <c r="Y110" s="6" t="n">
        <v>1</v>
      </c>
      <c r="Z110" s="6"/>
      <c r="AA110" s="6" t="s">
        <v>336</v>
      </c>
      <c r="AB110" s="6" t="s">
        <v>568</v>
      </c>
    </row>
    <row r="111" customFormat="false" ht="15" hidden="false" customHeight="false" outlineLevel="0" collapsed="false">
      <c r="A111" s="6" t="n">
        <v>110</v>
      </c>
      <c r="B111" s="6" t="s">
        <v>28</v>
      </c>
      <c r="C111" s="6" t="s">
        <v>569</v>
      </c>
      <c r="D111" s="13" t="n">
        <v>46195</v>
      </c>
      <c r="E111" s="6" t="n">
        <f aca="false">MONTH(D111)</f>
        <v>6</v>
      </c>
      <c r="F111" s="6" t="s">
        <v>570</v>
      </c>
      <c r="G111" s="6" t="s">
        <v>571</v>
      </c>
      <c r="H111" s="6" t="s">
        <v>155</v>
      </c>
      <c r="I111" s="6" t="s">
        <v>35</v>
      </c>
      <c r="J111" s="6" t="s">
        <v>35</v>
      </c>
      <c r="K111" s="6" t="s">
        <v>198</v>
      </c>
      <c r="L111" s="13"/>
      <c r="M111" s="6" t="n">
        <v>0</v>
      </c>
      <c r="N111" s="13"/>
      <c r="O111" s="6" t="n">
        <v>0</v>
      </c>
      <c r="P111" s="6"/>
      <c r="Q111" s="8"/>
      <c r="R111" s="6"/>
      <c r="S111" s="8" t="str">
        <f aca="false">IF(Q111="","",IF(R111="EUR",ROUND(Q111*Параметры!$B$3,0),Q111))</f>
        <v/>
      </c>
      <c r="T111" s="6" t="s">
        <v>71</v>
      </c>
      <c r="U111" s="6" t="s">
        <v>71</v>
      </c>
      <c r="V111" s="13"/>
      <c r="W111" s="6" t="n">
        <f aca="false">IF(T111="Оплачено",1,0)</f>
        <v>0</v>
      </c>
      <c r="X111" s="6" t="n">
        <f aca="false">IF(OR(T111="Не дозвонились",Y111=0),0,1)</f>
        <v>1</v>
      </c>
      <c r="Y111" s="6" t="n">
        <v>1</v>
      </c>
      <c r="Z111" s="6"/>
      <c r="AA111" s="6"/>
      <c r="AB111" s="6"/>
    </row>
    <row r="112" customFormat="false" ht="15" hidden="false" customHeight="false" outlineLevel="0" collapsed="false">
      <c r="A112" s="6" t="n">
        <v>111</v>
      </c>
      <c r="B112" s="6" t="s">
        <v>28</v>
      </c>
      <c r="C112" s="6" t="s">
        <v>572</v>
      </c>
      <c r="D112" s="13" t="n">
        <v>46195</v>
      </c>
      <c r="E112" s="6" t="n">
        <f aca="false">MONTH(D112)</f>
        <v>6</v>
      </c>
      <c r="F112" s="6" t="s">
        <v>573</v>
      </c>
      <c r="G112" s="6" t="s">
        <v>574</v>
      </c>
      <c r="H112" s="6" t="s">
        <v>103</v>
      </c>
      <c r="I112" s="6" t="s">
        <v>34</v>
      </c>
      <c r="J112" s="6" t="s">
        <v>34</v>
      </c>
      <c r="K112" s="6" t="s">
        <v>156</v>
      </c>
      <c r="L112" s="13" t="n">
        <v>46199</v>
      </c>
      <c r="M112" s="6" t="n">
        <v>1</v>
      </c>
      <c r="N112" s="13"/>
      <c r="O112" s="6" t="n">
        <v>0</v>
      </c>
      <c r="P112" s="6"/>
      <c r="Q112" s="8"/>
      <c r="R112" s="6"/>
      <c r="S112" s="8" t="str">
        <f aca="false">IF(Q112="","",IF(R112="EUR",ROUND(Q112*Параметры!$B$3,0),Q112))</f>
        <v/>
      </c>
      <c r="T112" s="6" t="s">
        <v>71</v>
      </c>
      <c r="U112" s="6" t="s">
        <v>71</v>
      </c>
      <c r="V112" s="13"/>
      <c r="W112" s="6" t="n">
        <f aca="false">IF(T112="Оплачено",1,0)</f>
        <v>0</v>
      </c>
      <c r="X112" s="6" t="n">
        <f aca="false">IF(OR(T112="Не дозвонились",Y112=0),0,1)</f>
        <v>1</v>
      </c>
      <c r="Y112" s="6" t="n">
        <v>1</v>
      </c>
      <c r="Z112" s="6"/>
      <c r="AA112" s="6"/>
      <c r="AB112" s="6" t="s">
        <v>414</v>
      </c>
    </row>
    <row r="113" customFormat="false" ht="15" hidden="false" customHeight="false" outlineLevel="0" collapsed="false">
      <c r="A113" s="6" t="n">
        <v>112</v>
      </c>
      <c r="B113" s="6" t="s">
        <v>28</v>
      </c>
      <c r="C113" s="6" t="s">
        <v>575</v>
      </c>
      <c r="D113" s="13" t="n">
        <v>46195</v>
      </c>
      <c r="E113" s="6" t="n">
        <f aca="false">MONTH(D113)</f>
        <v>6</v>
      </c>
      <c r="F113" s="6" t="s">
        <v>576</v>
      </c>
      <c r="G113" s="6" t="s">
        <v>577</v>
      </c>
      <c r="H113" s="6" t="s">
        <v>197</v>
      </c>
      <c r="I113" s="6" t="s">
        <v>35</v>
      </c>
      <c r="J113" s="6" t="s">
        <v>35</v>
      </c>
      <c r="K113" s="6" t="s">
        <v>98</v>
      </c>
      <c r="L113" s="13" t="n">
        <v>46198</v>
      </c>
      <c r="M113" s="6" t="n">
        <v>1</v>
      </c>
      <c r="N113" s="13" t="n">
        <v>46199</v>
      </c>
      <c r="O113" s="6" t="n">
        <v>1</v>
      </c>
      <c r="P113" s="6" t="s">
        <v>578</v>
      </c>
      <c r="Q113" s="8" t="n">
        <v>111300</v>
      </c>
      <c r="R113" s="6" t="s">
        <v>89</v>
      </c>
      <c r="S113" s="8" t="n">
        <f aca="false">IF(Q113="","",IF(R113="EUR",ROUND(Q113*Параметры!$B$3,0),Q113))</f>
        <v>111300</v>
      </c>
      <c r="T113" s="6" t="s">
        <v>15</v>
      </c>
      <c r="U113" s="6" t="s">
        <v>15</v>
      </c>
      <c r="V113" s="13" t="n">
        <v>46201</v>
      </c>
      <c r="W113" s="6" t="n">
        <f aca="false">IF(T113="Оплачено",1,0)</f>
        <v>1</v>
      </c>
      <c r="X113" s="6" t="n">
        <f aca="false">IF(OR(T113="Не дозвонились",Y113=0),0,1)</f>
        <v>1</v>
      </c>
      <c r="Y113" s="6" t="n">
        <v>1</v>
      </c>
      <c r="Z113" s="6"/>
      <c r="AA113" s="6"/>
      <c r="AB113" s="6"/>
    </row>
    <row r="114" customFormat="false" ht="15" hidden="false" customHeight="false" outlineLevel="0" collapsed="false">
      <c r="A114" s="6" t="n">
        <v>113</v>
      </c>
      <c r="B114" s="6" t="s">
        <v>28</v>
      </c>
      <c r="C114" s="6" t="s">
        <v>579</v>
      </c>
      <c r="D114" s="13" t="n">
        <v>46195</v>
      </c>
      <c r="E114" s="6" t="n">
        <f aca="false">MONTH(D114)</f>
        <v>6</v>
      </c>
      <c r="F114" s="6" t="s">
        <v>580</v>
      </c>
      <c r="G114" s="6" t="s">
        <v>581</v>
      </c>
      <c r="H114" s="6" t="s">
        <v>197</v>
      </c>
      <c r="I114" s="6" t="s">
        <v>34</v>
      </c>
      <c r="J114" s="6" t="s">
        <v>34</v>
      </c>
      <c r="K114" s="6" t="s">
        <v>98</v>
      </c>
      <c r="L114" s="13"/>
      <c r="M114" s="6" t="n">
        <v>0</v>
      </c>
      <c r="N114" s="13"/>
      <c r="O114" s="6" t="n">
        <v>0</v>
      </c>
      <c r="P114" s="6"/>
      <c r="Q114" s="8"/>
      <c r="R114" s="6"/>
      <c r="S114" s="8" t="str">
        <f aca="false">IF(Q114="","",IF(R114="EUR",ROUND(Q114*Параметры!$B$3,0),Q114))</f>
        <v/>
      </c>
      <c r="T114" s="6" t="s">
        <v>80</v>
      </c>
      <c r="U114" s="6" t="s">
        <v>163</v>
      </c>
      <c r="V114" s="13"/>
      <c r="W114" s="6" t="n">
        <f aca="false">IF(T114="Оплачено",1,0)</f>
        <v>0</v>
      </c>
      <c r="X114" s="6" t="n">
        <f aca="false">IF(OR(T114="Не дозвонились",Y114=0),0,1)</f>
        <v>0</v>
      </c>
      <c r="Y114" s="6" t="n">
        <v>1</v>
      </c>
      <c r="Z114" s="6"/>
      <c r="AA114" s="6"/>
      <c r="AB114" s="6"/>
    </row>
    <row r="115" customFormat="false" ht="15" hidden="false" customHeight="false" outlineLevel="0" collapsed="false">
      <c r="A115" s="6" t="n">
        <v>114</v>
      </c>
      <c r="B115" s="6" t="s">
        <v>29</v>
      </c>
      <c r="C115" s="6" t="s">
        <v>582</v>
      </c>
      <c r="D115" s="13" t="n">
        <v>46195</v>
      </c>
      <c r="E115" s="6" t="n">
        <f aca="false">MONTH(D115)</f>
        <v>6</v>
      </c>
      <c r="F115" s="6" t="s">
        <v>583</v>
      </c>
      <c r="G115" s="6" t="s">
        <v>584</v>
      </c>
      <c r="H115" s="6" t="s">
        <v>114</v>
      </c>
      <c r="I115" s="6" t="s">
        <v>35</v>
      </c>
      <c r="J115" s="6" t="s">
        <v>142</v>
      </c>
      <c r="K115" s="6" t="s">
        <v>239</v>
      </c>
      <c r="L115" s="13" t="n">
        <v>46198</v>
      </c>
      <c r="M115" s="6" t="n">
        <v>1</v>
      </c>
      <c r="N115" s="13" t="n">
        <v>46198</v>
      </c>
      <c r="O115" s="6" t="n">
        <v>1</v>
      </c>
      <c r="P115" s="6" t="s">
        <v>585</v>
      </c>
      <c r="Q115" s="8" t="n">
        <v>35700</v>
      </c>
      <c r="R115" s="6" t="s">
        <v>89</v>
      </c>
      <c r="S115" s="8" t="n">
        <f aca="false">IF(Q115="","",IF(R115="EUR",ROUND(Q115*Параметры!$B$3,0),Q115))</f>
        <v>35700</v>
      </c>
      <c r="T115" s="6" t="s">
        <v>71</v>
      </c>
      <c r="U115" s="6" t="s">
        <v>301</v>
      </c>
      <c r="V115" s="13"/>
      <c r="W115" s="6" t="n">
        <f aca="false">IF(T115="Оплачено",1,0)</f>
        <v>0</v>
      </c>
      <c r="X115" s="6" t="n">
        <f aca="false">IF(OR(T115="Не дозвонились",Y115=0),0,1)</f>
        <v>1</v>
      </c>
      <c r="Y115" s="6" t="n">
        <v>1</v>
      </c>
      <c r="Z115" s="6"/>
      <c r="AA115" s="6"/>
      <c r="AB115" s="6" t="s">
        <v>204</v>
      </c>
    </row>
    <row r="116" customFormat="false" ht="15" hidden="false" customHeight="false" outlineLevel="0" collapsed="false">
      <c r="A116" s="6" t="n">
        <v>115</v>
      </c>
      <c r="B116" s="6" t="s">
        <v>29</v>
      </c>
      <c r="C116" s="6" t="s">
        <v>586</v>
      </c>
      <c r="D116" s="13" t="n">
        <v>46195</v>
      </c>
      <c r="E116" s="6" t="n">
        <f aca="false">MONTH(D116)</f>
        <v>6</v>
      </c>
      <c r="F116" s="6" t="s">
        <v>587</v>
      </c>
      <c r="G116" s="6" t="s">
        <v>588</v>
      </c>
      <c r="H116" s="6" t="s">
        <v>121</v>
      </c>
      <c r="I116" s="6" t="s">
        <v>34</v>
      </c>
      <c r="J116" s="6" t="s">
        <v>383</v>
      </c>
      <c r="K116" s="6" t="s">
        <v>143</v>
      </c>
      <c r="L116" s="13"/>
      <c r="M116" s="6" t="n">
        <v>0</v>
      </c>
      <c r="N116" s="13"/>
      <c r="O116" s="6" t="n">
        <v>0</v>
      </c>
      <c r="P116" s="6"/>
      <c r="Q116" s="8"/>
      <c r="R116" s="6"/>
      <c r="S116" s="8" t="str">
        <f aca="false">IF(Q116="","",IF(R116="EUR",ROUND(Q116*Параметры!$B$3,0),Q116))</f>
        <v/>
      </c>
      <c r="T116" s="6" t="s">
        <v>71</v>
      </c>
      <c r="U116" s="6" t="s">
        <v>301</v>
      </c>
      <c r="V116" s="13"/>
      <c r="W116" s="6" t="n">
        <f aca="false">IF(T116="Оплачено",1,0)</f>
        <v>0</v>
      </c>
      <c r="X116" s="6" t="n">
        <f aca="false">IF(OR(T116="Не дозвонились",Y116=0),0,1)</f>
        <v>1</v>
      </c>
      <c r="Y116" s="6" t="n">
        <v>1</v>
      </c>
      <c r="Z116" s="6"/>
      <c r="AA116" s="6"/>
      <c r="AB116" s="6" t="s">
        <v>226</v>
      </c>
    </row>
    <row r="117" customFormat="false" ht="15" hidden="false" customHeight="false" outlineLevel="0" collapsed="false">
      <c r="A117" s="6" t="n">
        <v>116</v>
      </c>
      <c r="B117" s="6" t="s">
        <v>29</v>
      </c>
      <c r="C117" s="6" t="s">
        <v>589</v>
      </c>
      <c r="D117" s="13" t="n">
        <v>46195</v>
      </c>
      <c r="E117" s="6" t="n">
        <f aca="false">MONTH(D117)</f>
        <v>6</v>
      </c>
      <c r="F117" s="6" t="s">
        <v>590</v>
      </c>
      <c r="G117" s="6" t="s">
        <v>591</v>
      </c>
      <c r="H117" s="6" t="s">
        <v>141</v>
      </c>
      <c r="I117" s="6" t="s">
        <v>38</v>
      </c>
      <c r="J117" s="6" t="s">
        <v>38</v>
      </c>
      <c r="K117" s="6" t="s">
        <v>168</v>
      </c>
      <c r="L117" s="13"/>
      <c r="M117" s="6" t="n">
        <v>0</v>
      </c>
      <c r="N117" s="13"/>
      <c r="O117" s="6" t="n">
        <v>0</v>
      </c>
      <c r="P117" s="6"/>
      <c r="Q117" s="8"/>
      <c r="R117" s="6"/>
      <c r="S117" s="8" t="str">
        <f aca="false">IF(Q117="","",IF(R117="EUR",ROUND(Q117*Параметры!$B$3,0),Q117))</f>
        <v/>
      </c>
      <c r="T117" s="6" t="s">
        <v>71</v>
      </c>
      <c r="U117" s="6" t="s">
        <v>72</v>
      </c>
      <c r="V117" s="13"/>
      <c r="W117" s="6" t="n">
        <f aca="false">IF(T117="Оплачено",1,0)</f>
        <v>0</v>
      </c>
      <c r="X117" s="6" t="n">
        <f aca="false">IF(OR(T117="Не дозвонились",Y117=0),0,1)</f>
        <v>1</v>
      </c>
      <c r="Y117" s="6" t="n">
        <v>1</v>
      </c>
      <c r="Z117" s="6"/>
      <c r="AA117" s="6"/>
      <c r="AB117" s="6" t="s">
        <v>235</v>
      </c>
    </row>
    <row r="118" customFormat="false" ht="15" hidden="false" customHeight="false" outlineLevel="0" collapsed="false">
      <c r="A118" s="6" t="n">
        <v>117</v>
      </c>
      <c r="B118" s="6" t="s">
        <v>30</v>
      </c>
      <c r="C118" s="6" t="s">
        <v>592</v>
      </c>
      <c r="D118" s="13" t="n">
        <v>46195</v>
      </c>
      <c r="E118" s="6" t="n">
        <f aca="false">MONTH(D118)</f>
        <v>6</v>
      </c>
      <c r="F118" s="6" t="s">
        <v>593</v>
      </c>
      <c r="G118" s="6" t="s">
        <v>594</v>
      </c>
      <c r="H118" s="6" t="s">
        <v>243</v>
      </c>
      <c r="I118" s="6" t="s">
        <v>34</v>
      </c>
      <c r="J118" s="6" t="s">
        <v>273</v>
      </c>
      <c r="K118" s="6" t="s">
        <v>79</v>
      </c>
      <c r="L118" s="13"/>
      <c r="M118" s="6" t="n">
        <v>0</v>
      </c>
      <c r="N118" s="13"/>
      <c r="O118" s="6" t="n">
        <v>0</v>
      </c>
      <c r="P118" s="6"/>
      <c r="Q118" s="8"/>
      <c r="R118" s="6"/>
      <c r="S118" s="8" t="str">
        <f aca="false">IF(Q118="","",IF(R118="EUR",ROUND(Q118*Параметры!$B$3,0),Q118))</f>
        <v/>
      </c>
      <c r="T118" s="6" t="s">
        <v>150</v>
      </c>
      <c r="U118" s="6" t="s">
        <v>151</v>
      </c>
      <c r="V118" s="13"/>
      <c r="W118" s="6" t="n">
        <f aca="false">IF(T118="Оплачено",1,0)</f>
        <v>0</v>
      </c>
      <c r="X118" s="6" t="n">
        <f aca="false">IF(OR(T118="Не дозвонились",Y118=0),0,1)</f>
        <v>1</v>
      </c>
      <c r="Y118" s="6" t="n">
        <v>1</v>
      </c>
      <c r="Z118" s="6"/>
      <c r="AA118" s="6"/>
      <c r="AB118" s="6"/>
    </row>
    <row r="119" customFormat="false" ht="15" hidden="false" customHeight="false" outlineLevel="0" collapsed="false">
      <c r="A119" s="6" t="n">
        <v>118</v>
      </c>
      <c r="B119" s="6" t="s">
        <v>30</v>
      </c>
      <c r="C119" s="6" t="s">
        <v>595</v>
      </c>
      <c r="D119" s="13" t="n">
        <v>46195</v>
      </c>
      <c r="E119" s="6" t="n">
        <f aca="false">MONTH(D119)</f>
        <v>6</v>
      </c>
      <c r="F119" s="6" t="s">
        <v>596</v>
      </c>
      <c r="G119" s="6" t="s">
        <v>597</v>
      </c>
      <c r="H119" s="6" t="s">
        <v>77</v>
      </c>
      <c r="I119" s="6" t="s">
        <v>37</v>
      </c>
      <c r="J119" s="6" t="s">
        <v>598</v>
      </c>
      <c r="K119" s="6" t="s">
        <v>277</v>
      </c>
      <c r="L119" s="13" t="n">
        <v>46197</v>
      </c>
      <c r="M119" s="6" t="n">
        <v>1</v>
      </c>
      <c r="N119" s="13" t="n">
        <v>46203</v>
      </c>
      <c r="O119" s="6" t="n">
        <v>1</v>
      </c>
      <c r="P119" s="6" t="s">
        <v>599</v>
      </c>
      <c r="Q119" s="8" t="n">
        <v>7600</v>
      </c>
      <c r="R119" s="6" t="s">
        <v>89</v>
      </c>
      <c r="S119" s="8" t="n">
        <f aca="false">IF(Q119="","",IF(R119="EUR",ROUND(Q119*Параметры!$B$3,0),Q119))</f>
        <v>7600</v>
      </c>
      <c r="T119" s="6" t="s">
        <v>150</v>
      </c>
      <c r="U119" s="6" t="s">
        <v>151</v>
      </c>
      <c r="V119" s="13"/>
      <c r="W119" s="6" t="n">
        <f aca="false">IF(T119="Оплачено",1,0)</f>
        <v>0</v>
      </c>
      <c r="X119" s="6" t="n">
        <f aca="false">IF(OR(T119="Не дозвонились",Y119=0),0,1)</f>
        <v>1</v>
      </c>
      <c r="Y119" s="6" t="n">
        <v>1</v>
      </c>
      <c r="Z119" s="6"/>
      <c r="AA119" s="6"/>
      <c r="AB119" s="6" t="s">
        <v>106</v>
      </c>
    </row>
    <row r="120" customFormat="false" ht="15" hidden="false" customHeight="false" outlineLevel="0" collapsed="false">
      <c r="A120" s="6" t="n">
        <v>119</v>
      </c>
      <c r="B120" s="6" t="s">
        <v>30</v>
      </c>
      <c r="C120" s="6" t="s">
        <v>600</v>
      </c>
      <c r="D120" s="13" t="n">
        <v>46195</v>
      </c>
      <c r="E120" s="6" t="n">
        <f aca="false">MONTH(D120)</f>
        <v>6</v>
      </c>
      <c r="F120" s="6" t="s">
        <v>601</v>
      </c>
      <c r="G120" s="6" t="s">
        <v>602</v>
      </c>
      <c r="H120" s="6" t="s">
        <v>603</v>
      </c>
      <c r="I120" s="6" t="s">
        <v>35</v>
      </c>
      <c r="J120" s="6" t="s">
        <v>148</v>
      </c>
      <c r="K120" s="6" t="s">
        <v>215</v>
      </c>
      <c r="L120" s="13" t="n">
        <v>46198</v>
      </c>
      <c r="M120" s="6" t="n">
        <v>1</v>
      </c>
      <c r="N120" s="13" t="n">
        <v>46199</v>
      </c>
      <c r="O120" s="6" t="n">
        <v>1</v>
      </c>
      <c r="P120" s="6" t="s">
        <v>604</v>
      </c>
      <c r="Q120" s="8" t="n">
        <v>23000</v>
      </c>
      <c r="R120" s="6" t="s">
        <v>89</v>
      </c>
      <c r="S120" s="8" t="n">
        <f aca="false">IF(Q120="","",IF(R120="EUR",ROUND(Q120*Параметры!$B$3,0),Q120))</f>
        <v>23000</v>
      </c>
      <c r="T120" s="6" t="s">
        <v>90</v>
      </c>
      <c r="U120" s="6" t="s">
        <v>91</v>
      </c>
      <c r="V120" s="13"/>
      <c r="W120" s="6" t="n">
        <f aca="false">IF(T120="Оплачено",1,0)</f>
        <v>0</v>
      </c>
      <c r="X120" s="6" t="n">
        <f aca="false">IF(OR(T120="Не дозвонились",Y120=0),0,1)</f>
        <v>1</v>
      </c>
      <c r="Y120" s="6" t="n">
        <v>1</v>
      </c>
      <c r="Z120" s="6"/>
      <c r="AA120" s="6" t="s">
        <v>605</v>
      </c>
      <c r="AB120" s="6"/>
    </row>
    <row r="121" customFormat="false" ht="15" hidden="false" customHeight="false" outlineLevel="0" collapsed="false">
      <c r="A121" s="6" t="n">
        <v>120</v>
      </c>
      <c r="B121" s="6" t="s">
        <v>28</v>
      </c>
      <c r="C121" s="6" t="s">
        <v>606</v>
      </c>
      <c r="D121" s="13" t="n">
        <v>46196</v>
      </c>
      <c r="E121" s="6" t="n">
        <f aca="false">MONTH(D121)</f>
        <v>6</v>
      </c>
      <c r="F121" s="6" t="s">
        <v>607</v>
      </c>
      <c r="G121" s="6" t="s">
        <v>608</v>
      </c>
      <c r="H121" s="6" t="s">
        <v>161</v>
      </c>
      <c r="I121" s="6" t="s">
        <v>37</v>
      </c>
      <c r="J121" s="6" t="s">
        <v>313</v>
      </c>
      <c r="K121" s="6" t="s">
        <v>162</v>
      </c>
      <c r="L121" s="13" t="n">
        <v>46199</v>
      </c>
      <c r="M121" s="6" t="n">
        <v>1</v>
      </c>
      <c r="N121" s="13"/>
      <c r="O121" s="6" t="n">
        <v>0</v>
      </c>
      <c r="P121" s="6"/>
      <c r="Q121" s="8"/>
      <c r="R121" s="6"/>
      <c r="S121" s="8" t="str">
        <f aca="false">IF(Q121="","",IF(R121="EUR",ROUND(Q121*Параметры!$B$3,0),Q121))</f>
        <v/>
      </c>
      <c r="T121" s="6" t="s">
        <v>71</v>
      </c>
      <c r="U121" s="6" t="s">
        <v>71</v>
      </c>
      <c r="V121" s="13"/>
      <c r="W121" s="6" t="n">
        <f aca="false">IF(T121="Оплачено",1,0)</f>
        <v>0</v>
      </c>
      <c r="X121" s="6" t="n">
        <f aca="false">IF(OR(T121="Не дозвонились",Y121=0),0,1)</f>
        <v>1</v>
      </c>
      <c r="Y121" s="6" t="n">
        <v>1</v>
      </c>
      <c r="Z121" s="6"/>
      <c r="AA121" s="6"/>
      <c r="AB121" s="6" t="s">
        <v>414</v>
      </c>
    </row>
    <row r="122" customFormat="false" ht="15" hidden="false" customHeight="false" outlineLevel="0" collapsed="false">
      <c r="A122" s="6" t="n">
        <v>121</v>
      </c>
      <c r="B122" s="6" t="s">
        <v>29</v>
      </c>
      <c r="C122" s="6" t="s">
        <v>609</v>
      </c>
      <c r="D122" s="13" t="n">
        <v>46196</v>
      </c>
      <c r="E122" s="6" t="n">
        <f aca="false">MONTH(D122)</f>
        <v>6</v>
      </c>
      <c r="F122" s="6" t="s">
        <v>610</v>
      </c>
      <c r="G122" s="6" t="s">
        <v>611</v>
      </c>
      <c r="H122" s="6" t="s">
        <v>266</v>
      </c>
      <c r="I122" s="6" t="s">
        <v>34</v>
      </c>
      <c r="J122" s="6" t="s">
        <v>383</v>
      </c>
      <c r="K122" s="6" t="s">
        <v>344</v>
      </c>
      <c r="L122" s="13"/>
      <c r="M122" s="6" t="n">
        <v>0</v>
      </c>
      <c r="N122" s="13"/>
      <c r="O122" s="6" t="n">
        <v>0</v>
      </c>
      <c r="P122" s="6"/>
      <c r="Q122" s="8"/>
      <c r="R122" s="6"/>
      <c r="S122" s="8" t="str">
        <f aca="false">IF(Q122="","",IF(R122="EUR",ROUND(Q122*Параметры!$B$3,0),Q122))</f>
        <v/>
      </c>
      <c r="T122" s="6" t="s">
        <v>71</v>
      </c>
      <c r="U122" s="6" t="s">
        <v>301</v>
      </c>
      <c r="V122" s="13"/>
      <c r="W122" s="6" t="n">
        <f aca="false">IF(T122="Оплачено",1,0)</f>
        <v>0</v>
      </c>
      <c r="X122" s="6" t="n">
        <f aca="false">IF(OR(T122="Не дозвонились",Y122=0),0,1)</f>
        <v>1</v>
      </c>
      <c r="Y122" s="6" t="n">
        <v>1</v>
      </c>
      <c r="Z122" s="6"/>
      <c r="AA122" s="6"/>
      <c r="AB122" s="6" t="s">
        <v>180</v>
      </c>
    </row>
    <row r="123" customFormat="false" ht="15" hidden="false" customHeight="false" outlineLevel="0" collapsed="false">
      <c r="A123" s="6" t="n">
        <v>122</v>
      </c>
      <c r="B123" s="6" t="s">
        <v>29</v>
      </c>
      <c r="C123" s="6" t="s">
        <v>612</v>
      </c>
      <c r="D123" s="13" t="n">
        <v>46196</v>
      </c>
      <c r="E123" s="6" t="n">
        <f aca="false">MONTH(D123)</f>
        <v>6</v>
      </c>
      <c r="F123" s="6" t="s">
        <v>613</v>
      </c>
      <c r="G123" s="6" t="s">
        <v>614</v>
      </c>
      <c r="H123" s="6" t="s">
        <v>114</v>
      </c>
      <c r="I123" s="6" t="s">
        <v>35</v>
      </c>
      <c r="J123" s="6" t="s">
        <v>142</v>
      </c>
      <c r="K123" s="6" t="s">
        <v>128</v>
      </c>
      <c r="L123" s="13" t="n">
        <v>46200</v>
      </c>
      <c r="M123" s="6" t="n">
        <v>1</v>
      </c>
      <c r="N123" s="13" t="n">
        <v>46201</v>
      </c>
      <c r="O123" s="6" t="n">
        <v>1</v>
      </c>
      <c r="P123" s="6" t="s">
        <v>615</v>
      </c>
      <c r="Q123" s="8" t="n">
        <v>26900</v>
      </c>
      <c r="R123" s="6" t="s">
        <v>89</v>
      </c>
      <c r="S123" s="8" t="n">
        <f aca="false">IF(Q123="","",IF(R123="EUR",ROUND(Q123*Параметры!$B$3,0),Q123))</f>
        <v>26900</v>
      </c>
      <c r="T123" s="6" t="s">
        <v>15</v>
      </c>
      <c r="U123" s="6" t="s">
        <v>616</v>
      </c>
      <c r="V123" s="13" t="n">
        <v>46212</v>
      </c>
      <c r="W123" s="6" t="n">
        <f aca="false">IF(T123="Оплачено",1,0)</f>
        <v>1</v>
      </c>
      <c r="X123" s="6" t="n">
        <f aca="false">IF(OR(T123="Не дозвонились",Y123=0),0,1)</f>
        <v>1</v>
      </c>
      <c r="Y123" s="6" t="n">
        <v>1</v>
      </c>
      <c r="Z123" s="6"/>
      <c r="AA123" s="6"/>
      <c r="AB123" s="6"/>
    </row>
    <row r="124" customFormat="false" ht="15" hidden="false" customHeight="false" outlineLevel="0" collapsed="false">
      <c r="A124" s="6" t="n">
        <v>123</v>
      </c>
      <c r="B124" s="6" t="s">
        <v>29</v>
      </c>
      <c r="C124" s="6" t="s">
        <v>617</v>
      </c>
      <c r="D124" s="13" t="n">
        <v>46196</v>
      </c>
      <c r="E124" s="6" t="n">
        <f aca="false">MONTH(D124)</f>
        <v>6</v>
      </c>
      <c r="F124" s="6" t="s">
        <v>618</v>
      </c>
      <c r="G124" s="6" t="s">
        <v>619</v>
      </c>
      <c r="H124" s="6" t="s">
        <v>114</v>
      </c>
      <c r="I124" s="6" t="s">
        <v>34</v>
      </c>
      <c r="J124" s="6" t="s">
        <v>383</v>
      </c>
      <c r="K124" s="6" t="s">
        <v>143</v>
      </c>
      <c r="L124" s="13" t="n">
        <v>46198</v>
      </c>
      <c r="M124" s="6" t="n">
        <v>1</v>
      </c>
      <c r="N124" s="13" t="n">
        <v>46201</v>
      </c>
      <c r="O124" s="6" t="n">
        <v>1</v>
      </c>
      <c r="P124" s="6" t="s">
        <v>620</v>
      </c>
      <c r="Q124" s="8" t="n">
        <v>39400</v>
      </c>
      <c r="R124" s="6" t="s">
        <v>89</v>
      </c>
      <c r="S124" s="8" t="n">
        <f aca="false">IF(Q124="","",IF(R124="EUR",ROUND(Q124*Параметры!$B$3,0),Q124))</f>
        <v>39400</v>
      </c>
      <c r="T124" s="6" t="s">
        <v>15</v>
      </c>
      <c r="U124" s="6" t="s">
        <v>621</v>
      </c>
      <c r="V124" s="13" t="n">
        <v>46212</v>
      </c>
      <c r="W124" s="6" t="n">
        <f aca="false">IF(T124="Оплачено",1,0)</f>
        <v>1</v>
      </c>
      <c r="X124" s="6" t="n">
        <f aca="false">IF(OR(T124="Не дозвонились",Y124=0),0,1)</f>
        <v>1</v>
      </c>
      <c r="Y124" s="6" t="n">
        <v>1</v>
      </c>
      <c r="Z124" s="6"/>
      <c r="AA124" s="6"/>
      <c r="AB124" s="6"/>
    </row>
    <row r="125" customFormat="false" ht="15" hidden="false" customHeight="false" outlineLevel="0" collapsed="false">
      <c r="A125" s="6" t="n">
        <v>124</v>
      </c>
      <c r="B125" s="6" t="s">
        <v>30</v>
      </c>
      <c r="C125" s="6" t="s">
        <v>622</v>
      </c>
      <c r="D125" s="13" t="n">
        <v>46196</v>
      </c>
      <c r="E125" s="6" t="n">
        <f aca="false">MONTH(D125)</f>
        <v>6</v>
      </c>
      <c r="F125" s="6" t="s">
        <v>623</v>
      </c>
      <c r="G125" s="6" t="s">
        <v>624</v>
      </c>
      <c r="H125" s="6" t="s">
        <v>161</v>
      </c>
      <c r="I125" s="6" t="s">
        <v>34</v>
      </c>
      <c r="J125" s="6" t="s">
        <v>273</v>
      </c>
      <c r="K125" s="6" t="s">
        <v>625</v>
      </c>
      <c r="L125" s="13" t="n">
        <v>46201</v>
      </c>
      <c r="M125" s="6" t="n">
        <v>1</v>
      </c>
      <c r="N125" s="13" t="n">
        <v>46202</v>
      </c>
      <c r="O125" s="6" t="n">
        <v>1</v>
      </c>
      <c r="P125" s="6" t="s">
        <v>626</v>
      </c>
      <c r="Q125" s="8" t="n">
        <v>77200</v>
      </c>
      <c r="R125" s="6" t="s">
        <v>89</v>
      </c>
      <c r="S125" s="8" t="n">
        <f aca="false">IF(Q125="","",IF(R125="EUR",ROUND(Q125*Параметры!$B$3,0),Q125))</f>
        <v>77200</v>
      </c>
      <c r="T125" s="6" t="s">
        <v>71</v>
      </c>
      <c r="U125" s="6" t="s">
        <v>225</v>
      </c>
      <c r="V125" s="13"/>
      <c r="W125" s="6" t="n">
        <f aca="false">IF(T125="Оплачено",1,0)</f>
        <v>0</v>
      </c>
      <c r="X125" s="6" t="n">
        <f aca="false">IF(OR(T125="Не дозвонились",Y125=0),0,1)</f>
        <v>1</v>
      </c>
      <c r="Y125" s="6" t="n">
        <v>1</v>
      </c>
      <c r="Z125" s="6"/>
      <c r="AA125" s="6"/>
      <c r="AB125" s="6" t="s">
        <v>627</v>
      </c>
    </row>
    <row r="126" customFormat="false" ht="15" hidden="false" customHeight="false" outlineLevel="0" collapsed="false">
      <c r="A126" s="6" t="n">
        <v>125</v>
      </c>
      <c r="B126" s="6" t="s">
        <v>30</v>
      </c>
      <c r="C126" s="6" t="s">
        <v>628</v>
      </c>
      <c r="D126" s="13" t="n">
        <v>46196</v>
      </c>
      <c r="E126" s="6" t="n">
        <f aca="false">MONTH(D126)</f>
        <v>6</v>
      </c>
      <c r="F126" s="6" t="s">
        <v>629</v>
      </c>
      <c r="G126" s="6" t="s">
        <v>630</v>
      </c>
      <c r="H126" s="6" t="s">
        <v>243</v>
      </c>
      <c r="I126" s="6" t="s">
        <v>35</v>
      </c>
      <c r="J126" s="6" t="s">
        <v>142</v>
      </c>
      <c r="K126" s="6" t="s">
        <v>87</v>
      </c>
      <c r="L126" s="13" t="n">
        <v>46198</v>
      </c>
      <c r="M126" s="6" t="n">
        <v>1</v>
      </c>
      <c r="N126" s="13"/>
      <c r="O126" s="6" t="n">
        <v>0</v>
      </c>
      <c r="P126" s="6"/>
      <c r="Q126" s="8"/>
      <c r="R126" s="6"/>
      <c r="S126" s="8" t="str">
        <f aca="false">IF(Q126="","",IF(R126="EUR",ROUND(Q126*Параметры!$B$3,0),Q126))</f>
        <v/>
      </c>
      <c r="T126" s="6" t="s">
        <v>71</v>
      </c>
      <c r="U126" s="6" t="s">
        <v>72</v>
      </c>
      <c r="V126" s="13"/>
      <c r="W126" s="6" t="n">
        <f aca="false">IF(T126="Оплачено",1,0)</f>
        <v>0</v>
      </c>
      <c r="X126" s="6" t="n">
        <f aca="false">IF(OR(T126="Не дозвонились",Y126=0),0,1)</f>
        <v>1</v>
      </c>
      <c r="Y126" s="6" t="n">
        <v>1</v>
      </c>
      <c r="Z126" s="6"/>
      <c r="AA126" s="6"/>
      <c r="AB126" s="6" t="s">
        <v>258</v>
      </c>
    </row>
    <row r="127" customFormat="false" ht="15" hidden="false" customHeight="false" outlineLevel="0" collapsed="false">
      <c r="A127" s="6" t="n">
        <v>126</v>
      </c>
      <c r="B127" s="6" t="s">
        <v>30</v>
      </c>
      <c r="C127" s="6" t="s">
        <v>631</v>
      </c>
      <c r="D127" s="13" t="n">
        <v>46196</v>
      </c>
      <c r="E127" s="6" t="n">
        <f aca="false">MONTH(D127)</f>
        <v>6</v>
      </c>
      <c r="F127" s="6" t="s">
        <v>632</v>
      </c>
      <c r="G127" s="6" t="s">
        <v>633</v>
      </c>
      <c r="H127" s="6" t="s">
        <v>77</v>
      </c>
      <c r="I127" s="6" t="s">
        <v>35</v>
      </c>
      <c r="J127" s="6" t="s">
        <v>142</v>
      </c>
      <c r="K127" s="6" t="s">
        <v>536</v>
      </c>
      <c r="L127" s="13"/>
      <c r="M127" s="6" t="n">
        <v>0</v>
      </c>
      <c r="N127" s="13"/>
      <c r="O127" s="6" t="n">
        <v>0</v>
      </c>
      <c r="P127" s="6"/>
      <c r="Q127" s="8"/>
      <c r="R127" s="6"/>
      <c r="S127" s="8" t="str">
        <f aca="false">IF(Q127="","",IF(R127="EUR",ROUND(Q127*Параметры!$B$3,0),Q127))</f>
        <v/>
      </c>
      <c r="T127" s="6" t="s">
        <v>150</v>
      </c>
      <c r="U127" s="6" t="s">
        <v>151</v>
      </c>
      <c r="V127" s="13"/>
      <c r="W127" s="6" t="n">
        <f aca="false">IF(T127="Оплачено",1,0)</f>
        <v>0</v>
      </c>
      <c r="X127" s="6" t="n">
        <f aca="false">IF(OR(T127="Не дозвонились",Y127=0),0,1)</f>
        <v>1</v>
      </c>
      <c r="Y127" s="6" t="n">
        <v>1</v>
      </c>
      <c r="Z127" s="6"/>
      <c r="AA127" s="6"/>
      <c r="AB127" s="6"/>
    </row>
    <row r="128" customFormat="false" ht="15" hidden="false" customHeight="false" outlineLevel="0" collapsed="false">
      <c r="A128" s="6" t="n">
        <v>127</v>
      </c>
      <c r="B128" s="6" t="s">
        <v>28</v>
      </c>
      <c r="C128" s="6" t="s">
        <v>634</v>
      </c>
      <c r="D128" s="13" t="n">
        <v>46197</v>
      </c>
      <c r="E128" s="6" t="n">
        <f aca="false">MONTH(D128)</f>
        <v>6</v>
      </c>
      <c r="F128" s="6" t="s">
        <v>635</v>
      </c>
      <c r="G128" s="6" t="s">
        <v>636</v>
      </c>
      <c r="H128" s="6" t="s">
        <v>197</v>
      </c>
      <c r="I128" s="6" t="s">
        <v>35</v>
      </c>
      <c r="J128" s="6" t="s">
        <v>35</v>
      </c>
      <c r="K128" s="6" t="s">
        <v>202</v>
      </c>
      <c r="L128" s="13" t="n">
        <v>46199</v>
      </c>
      <c r="M128" s="6" t="n">
        <v>1</v>
      </c>
      <c r="N128" s="13" t="n">
        <v>46200</v>
      </c>
      <c r="O128" s="6" t="n">
        <v>1</v>
      </c>
      <c r="P128" s="6" t="s">
        <v>637</v>
      </c>
      <c r="Q128" s="8" t="n">
        <v>31200</v>
      </c>
      <c r="R128" s="6" t="s">
        <v>89</v>
      </c>
      <c r="S128" s="8" t="n">
        <f aca="false">IF(Q128="","",IF(R128="EUR",ROUND(Q128*Параметры!$B$3,0),Q128))</f>
        <v>31200</v>
      </c>
      <c r="T128" s="6" t="s">
        <v>15</v>
      </c>
      <c r="U128" s="6" t="s">
        <v>15</v>
      </c>
      <c r="V128" s="13" t="n">
        <v>46211</v>
      </c>
      <c r="W128" s="6" t="n">
        <f aca="false">IF(T128="Оплачено",1,0)</f>
        <v>1</v>
      </c>
      <c r="X128" s="6" t="n">
        <f aca="false">IF(OR(T128="Не дозвонились",Y128=0),0,1)</f>
        <v>1</v>
      </c>
      <c r="Y128" s="6" t="n">
        <v>1</v>
      </c>
      <c r="Z128" s="6"/>
      <c r="AA128" s="6"/>
      <c r="AB128" s="6"/>
    </row>
    <row r="129" customFormat="false" ht="15" hidden="false" customHeight="false" outlineLevel="0" collapsed="false">
      <c r="A129" s="6" t="n">
        <v>128</v>
      </c>
      <c r="B129" s="6" t="s">
        <v>29</v>
      </c>
      <c r="C129" s="6" t="s">
        <v>638</v>
      </c>
      <c r="D129" s="13" t="n">
        <v>46197</v>
      </c>
      <c r="E129" s="6" t="n">
        <f aca="false">MONTH(D129)</f>
        <v>6</v>
      </c>
      <c r="F129" s="6" t="s">
        <v>639</v>
      </c>
      <c r="G129" s="6" t="s">
        <v>640</v>
      </c>
      <c r="H129" s="6" t="s">
        <v>96</v>
      </c>
      <c r="I129" s="6" t="s">
        <v>37</v>
      </c>
      <c r="J129" s="6" t="s">
        <v>115</v>
      </c>
      <c r="K129" s="6" t="s">
        <v>143</v>
      </c>
      <c r="L129" s="13" t="n">
        <v>46202</v>
      </c>
      <c r="M129" s="6" t="n">
        <v>1</v>
      </c>
      <c r="N129" s="13" t="n">
        <v>46203</v>
      </c>
      <c r="O129" s="6" t="n">
        <v>1</v>
      </c>
      <c r="P129" s="6" t="s">
        <v>641</v>
      </c>
      <c r="Q129" s="8" t="n">
        <v>14200</v>
      </c>
      <c r="R129" s="6" t="s">
        <v>89</v>
      </c>
      <c r="S129" s="8" t="n">
        <f aca="false">IF(Q129="","",IF(R129="EUR",ROUND(Q129*Параметры!$B$3,0),Q129))</f>
        <v>14200</v>
      </c>
      <c r="T129" s="6" t="s">
        <v>15</v>
      </c>
      <c r="U129" s="6" t="s">
        <v>616</v>
      </c>
      <c r="V129" s="13" t="n">
        <v>46205</v>
      </c>
      <c r="W129" s="6" t="n">
        <f aca="false">IF(T129="Оплачено",1,0)</f>
        <v>1</v>
      </c>
      <c r="X129" s="6" t="n">
        <f aca="false">IF(OR(T129="Не дозвонились",Y129=0),0,1)</f>
        <v>1</v>
      </c>
      <c r="Y129" s="6" t="n">
        <v>1</v>
      </c>
      <c r="Z129" s="6"/>
      <c r="AA129" s="6"/>
      <c r="AB129" s="6" t="s">
        <v>106</v>
      </c>
    </row>
    <row r="130" customFormat="false" ht="15" hidden="false" customHeight="false" outlineLevel="0" collapsed="false">
      <c r="A130" s="6" t="n">
        <v>129</v>
      </c>
      <c r="B130" s="6" t="s">
        <v>29</v>
      </c>
      <c r="C130" s="6" t="s">
        <v>642</v>
      </c>
      <c r="D130" s="13" t="n">
        <v>46197</v>
      </c>
      <c r="E130" s="6" t="n">
        <f aca="false">MONTH(D130)</f>
        <v>6</v>
      </c>
      <c r="F130" s="6" t="s">
        <v>643</v>
      </c>
      <c r="G130" s="6" t="s">
        <v>644</v>
      </c>
      <c r="H130" s="6" t="s">
        <v>405</v>
      </c>
      <c r="I130" s="6" t="s">
        <v>34</v>
      </c>
      <c r="J130" s="6" t="s">
        <v>34</v>
      </c>
      <c r="K130" s="6" t="s">
        <v>143</v>
      </c>
      <c r="L130" s="13" t="n">
        <v>46201</v>
      </c>
      <c r="M130" s="6" t="n">
        <v>1</v>
      </c>
      <c r="N130" s="13" t="n">
        <v>46202</v>
      </c>
      <c r="O130" s="6" t="n">
        <v>1</v>
      </c>
      <c r="P130" s="6" t="s">
        <v>645</v>
      </c>
      <c r="Q130" s="8" t="n">
        <v>30600</v>
      </c>
      <c r="R130" s="6" t="s">
        <v>89</v>
      </c>
      <c r="S130" s="8" t="n">
        <f aca="false">IF(Q130="","",IF(R130="EUR",ROUND(Q130*Параметры!$B$3,0),Q130))</f>
        <v>30600</v>
      </c>
      <c r="T130" s="6" t="s">
        <v>15</v>
      </c>
      <c r="U130" s="6" t="s">
        <v>621</v>
      </c>
      <c r="V130" s="13" t="n">
        <v>46215</v>
      </c>
      <c r="W130" s="6" t="n">
        <f aca="false">IF(T130="Оплачено",1,0)</f>
        <v>1</v>
      </c>
      <c r="X130" s="6" t="n">
        <f aca="false">IF(OR(T130="Не дозвонились",Y130=0),0,1)</f>
        <v>1</v>
      </c>
      <c r="Y130" s="6" t="n">
        <v>1</v>
      </c>
      <c r="Z130" s="6"/>
      <c r="AA130" s="6"/>
      <c r="AB130" s="6"/>
    </row>
    <row r="131" customFormat="false" ht="15" hidden="false" customHeight="false" outlineLevel="0" collapsed="false">
      <c r="A131" s="6" t="n">
        <v>130</v>
      </c>
      <c r="B131" s="6" t="s">
        <v>30</v>
      </c>
      <c r="C131" s="6" t="s">
        <v>646</v>
      </c>
      <c r="D131" s="13" t="n">
        <v>46197</v>
      </c>
      <c r="E131" s="6" t="n">
        <f aca="false">MONTH(D131)</f>
        <v>6</v>
      </c>
      <c r="F131" s="6" t="s">
        <v>647</v>
      </c>
      <c r="G131" s="6" t="s">
        <v>648</v>
      </c>
      <c r="H131" s="6" t="s">
        <v>96</v>
      </c>
      <c r="I131" s="6" t="s">
        <v>35</v>
      </c>
      <c r="J131" s="6" t="s">
        <v>148</v>
      </c>
      <c r="K131" s="6" t="s">
        <v>133</v>
      </c>
      <c r="L131" s="13" t="n">
        <v>46199</v>
      </c>
      <c r="M131" s="6" t="n">
        <v>1</v>
      </c>
      <c r="N131" s="13" t="n">
        <v>46200</v>
      </c>
      <c r="O131" s="6" t="n">
        <v>1</v>
      </c>
      <c r="P131" s="6" t="s">
        <v>649</v>
      </c>
      <c r="Q131" s="8" t="n">
        <v>35300</v>
      </c>
      <c r="R131" s="6" t="s">
        <v>89</v>
      </c>
      <c r="S131" s="8" t="n">
        <f aca="false">IF(Q131="","",IF(R131="EUR",ROUND(Q131*Параметры!$B$3,0),Q131))</f>
        <v>35300</v>
      </c>
      <c r="T131" s="6" t="s">
        <v>90</v>
      </c>
      <c r="U131" s="6" t="s">
        <v>434</v>
      </c>
      <c r="V131" s="13"/>
      <c r="W131" s="6" t="n">
        <f aca="false">IF(T131="Оплачено",1,0)</f>
        <v>0</v>
      </c>
      <c r="X131" s="6" t="n">
        <f aca="false">IF(OR(T131="Не дозвонились",Y131=0),0,1)</f>
        <v>1</v>
      </c>
      <c r="Y131" s="6" t="n">
        <v>1</v>
      </c>
      <c r="Z131" s="6"/>
      <c r="AA131" s="6" t="s">
        <v>650</v>
      </c>
      <c r="AB131" s="6"/>
    </row>
    <row r="132" customFormat="false" ht="15" hidden="false" customHeight="false" outlineLevel="0" collapsed="false">
      <c r="A132" s="6" t="n">
        <v>131</v>
      </c>
      <c r="B132" s="6" t="s">
        <v>28</v>
      </c>
      <c r="C132" s="6" t="s">
        <v>651</v>
      </c>
      <c r="D132" s="13" t="n">
        <v>46198</v>
      </c>
      <c r="E132" s="6" t="n">
        <f aca="false">MONTH(D132)</f>
        <v>6</v>
      </c>
      <c r="F132" s="6" t="s">
        <v>652</v>
      </c>
      <c r="G132" s="6" t="s">
        <v>653</v>
      </c>
      <c r="H132" s="6" t="s">
        <v>161</v>
      </c>
      <c r="I132" s="6" t="s">
        <v>35</v>
      </c>
      <c r="J132" s="6" t="s">
        <v>35</v>
      </c>
      <c r="K132" s="6" t="s">
        <v>287</v>
      </c>
      <c r="L132" s="13" t="n">
        <v>46199</v>
      </c>
      <c r="M132" s="6" t="n">
        <v>1</v>
      </c>
      <c r="N132" s="13" t="n">
        <v>46200</v>
      </c>
      <c r="O132" s="6" t="n">
        <v>1</v>
      </c>
      <c r="P132" s="6" t="s">
        <v>654</v>
      </c>
      <c r="Q132" s="8" t="n">
        <v>14300</v>
      </c>
      <c r="R132" s="6" t="s">
        <v>89</v>
      </c>
      <c r="S132" s="8" t="n">
        <f aca="false">IF(Q132="","",IF(R132="EUR",ROUND(Q132*Параметры!$B$3,0),Q132))</f>
        <v>14300</v>
      </c>
      <c r="T132" s="6" t="s">
        <v>15</v>
      </c>
      <c r="U132" s="6" t="s">
        <v>15</v>
      </c>
      <c r="V132" s="13" t="n">
        <v>46214</v>
      </c>
      <c r="W132" s="6" t="n">
        <f aca="false">IF(T132="Оплачено",1,0)</f>
        <v>1</v>
      </c>
      <c r="X132" s="6" t="n">
        <f aca="false">IF(OR(T132="Не дозвонились",Y132=0),0,1)</f>
        <v>1</v>
      </c>
      <c r="Y132" s="6" t="n">
        <v>1</v>
      </c>
      <c r="Z132" s="6"/>
      <c r="AA132" s="6"/>
      <c r="AB132" s="6"/>
    </row>
    <row r="133" customFormat="false" ht="15" hidden="false" customHeight="false" outlineLevel="0" collapsed="false">
      <c r="A133" s="6" t="n">
        <v>132</v>
      </c>
      <c r="B133" s="6" t="s">
        <v>28</v>
      </c>
      <c r="C133" s="6" t="s">
        <v>655</v>
      </c>
      <c r="D133" s="13" t="n">
        <v>46198</v>
      </c>
      <c r="E133" s="6" t="n">
        <f aca="false">MONTH(D133)</f>
        <v>6</v>
      </c>
      <c r="F133" s="6" t="s">
        <v>656</v>
      </c>
      <c r="G133" s="6" t="s">
        <v>657</v>
      </c>
      <c r="H133" s="6" t="s">
        <v>197</v>
      </c>
      <c r="I133" s="6" t="s">
        <v>37</v>
      </c>
      <c r="J133" s="6" t="s">
        <v>313</v>
      </c>
      <c r="K133" s="6" t="s">
        <v>202</v>
      </c>
      <c r="L133" s="13" t="n">
        <v>46200</v>
      </c>
      <c r="M133" s="6" t="n">
        <v>1</v>
      </c>
      <c r="N133" s="13" t="n">
        <v>46201</v>
      </c>
      <c r="O133" s="6" t="n">
        <v>1</v>
      </c>
      <c r="P133" s="6" t="s">
        <v>658</v>
      </c>
      <c r="Q133" s="8" t="n">
        <v>41100</v>
      </c>
      <c r="R133" s="6" t="s">
        <v>89</v>
      </c>
      <c r="S133" s="8" t="n">
        <f aca="false">IF(Q133="","",IF(R133="EUR",ROUND(Q133*Параметры!$B$3,0),Q133))</f>
        <v>41100</v>
      </c>
      <c r="T133" s="6" t="s">
        <v>15</v>
      </c>
      <c r="U133" s="6" t="s">
        <v>15</v>
      </c>
      <c r="V133" s="13" t="n">
        <v>46214</v>
      </c>
      <c r="W133" s="6" t="n">
        <f aca="false">IF(T133="Оплачено",1,0)</f>
        <v>1</v>
      </c>
      <c r="X133" s="6" t="n">
        <f aca="false">IF(OR(T133="Не дозвонились",Y133=0),0,1)</f>
        <v>1</v>
      </c>
      <c r="Y133" s="6" t="n">
        <v>1</v>
      </c>
      <c r="Z133" s="6"/>
      <c r="AA133" s="6"/>
      <c r="AB133" s="6"/>
    </row>
    <row r="134" customFormat="false" ht="15" hidden="false" customHeight="false" outlineLevel="0" collapsed="false">
      <c r="A134" s="6" t="n">
        <v>133</v>
      </c>
      <c r="B134" s="6" t="s">
        <v>29</v>
      </c>
      <c r="C134" s="6" t="s">
        <v>659</v>
      </c>
      <c r="D134" s="13" t="n">
        <v>46198</v>
      </c>
      <c r="E134" s="6" t="n">
        <f aca="false">MONTH(D134)</f>
        <v>6</v>
      </c>
      <c r="F134" s="6" t="s">
        <v>660</v>
      </c>
      <c r="G134" s="6" t="s">
        <v>661</v>
      </c>
      <c r="H134" s="6" t="s">
        <v>266</v>
      </c>
      <c r="I134" s="6" t="s">
        <v>34</v>
      </c>
      <c r="J134" s="6" t="s">
        <v>383</v>
      </c>
      <c r="K134" s="6" t="s">
        <v>239</v>
      </c>
      <c r="L134" s="13" t="n">
        <v>46204</v>
      </c>
      <c r="M134" s="6" t="n">
        <v>1</v>
      </c>
      <c r="N134" s="13" t="n">
        <v>46206</v>
      </c>
      <c r="O134" s="6" t="n">
        <v>1</v>
      </c>
      <c r="P134" s="6" t="s">
        <v>662</v>
      </c>
      <c r="Q134" s="8" t="n">
        <v>27100</v>
      </c>
      <c r="R134" s="6" t="s">
        <v>89</v>
      </c>
      <c r="S134" s="8" t="n">
        <f aca="false">IF(Q134="","",IF(R134="EUR",ROUND(Q134*Параметры!$B$3,0),Q134))</f>
        <v>27100</v>
      </c>
      <c r="T134" s="6" t="s">
        <v>15</v>
      </c>
      <c r="U134" s="6" t="s">
        <v>616</v>
      </c>
      <c r="V134" s="13" t="n">
        <v>46210</v>
      </c>
      <c r="W134" s="6" t="n">
        <f aca="false">IF(T134="Оплачено",1,0)</f>
        <v>1</v>
      </c>
      <c r="X134" s="6" t="n">
        <f aca="false">IF(OR(T134="Не дозвонились",Y134=0),0,1)</f>
        <v>1</v>
      </c>
      <c r="Y134" s="6" t="n">
        <v>1</v>
      </c>
      <c r="Z134" s="6"/>
      <c r="AA134" s="6"/>
      <c r="AB134" s="6"/>
    </row>
    <row r="135" customFormat="false" ht="15" hidden="false" customHeight="false" outlineLevel="0" collapsed="false">
      <c r="A135" s="6" t="n">
        <v>134</v>
      </c>
      <c r="B135" s="6" t="s">
        <v>30</v>
      </c>
      <c r="C135" s="6" t="s">
        <v>663</v>
      </c>
      <c r="D135" s="13" t="n">
        <v>46198</v>
      </c>
      <c r="E135" s="6" t="n">
        <f aca="false">MONTH(D135)</f>
        <v>6</v>
      </c>
      <c r="F135" s="6" t="s">
        <v>664</v>
      </c>
      <c r="G135" s="6"/>
      <c r="H135" s="6" t="s">
        <v>665</v>
      </c>
      <c r="I135" s="6" t="s">
        <v>35</v>
      </c>
      <c r="J135" s="6" t="s">
        <v>142</v>
      </c>
      <c r="K135" s="6" t="s">
        <v>666</v>
      </c>
      <c r="L135" s="13" t="n">
        <v>46204</v>
      </c>
      <c r="M135" s="6" t="n">
        <v>1</v>
      </c>
      <c r="N135" s="13" t="n">
        <v>46213</v>
      </c>
      <c r="O135" s="6" t="n">
        <v>1</v>
      </c>
      <c r="P135" s="6" t="s">
        <v>667</v>
      </c>
      <c r="Q135" s="8" t="n">
        <v>15000</v>
      </c>
      <c r="R135" s="6" t="s">
        <v>89</v>
      </c>
      <c r="S135" s="8" t="n">
        <f aca="false">IF(Q135="","",IF(R135="EUR",ROUND(Q135*Параметры!$B$3,0),Q135))</f>
        <v>15000</v>
      </c>
      <c r="T135" s="6" t="s">
        <v>90</v>
      </c>
      <c r="U135" s="6" t="s">
        <v>136</v>
      </c>
      <c r="V135" s="13"/>
      <c r="W135" s="6" t="n">
        <f aca="false">IF(T135="Оплачено",1,0)</f>
        <v>0</v>
      </c>
      <c r="X135" s="6" t="n">
        <f aca="false">IF(OR(T135="Не дозвонились",Y135=0),0,1)</f>
        <v>1</v>
      </c>
      <c r="Y135" s="6" t="n">
        <v>1</v>
      </c>
      <c r="Z135" s="6"/>
      <c r="AA135" s="6" t="s">
        <v>668</v>
      </c>
      <c r="AB135" s="6"/>
    </row>
    <row r="136" customFormat="false" ht="15" hidden="false" customHeight="false" outlineLevel="0" collapsed="false">
      <c r="A136" s="6" t="n">
        <v>135</v>
      </c>
      <c r="B136" s="6" t="s">
        <v>30</v>
      </c>
      <c r="C136" s="6" t="s">
        <v>669</v>
      </c>
      <c r="D136" s="13" t="n">
        <v>46198</v>
      </c>
      <c r="E136" s="6" t="n">
        <f aca="false">MONTH(D136)</f>
        <v>6</v>
      </c>
      <c r="F136" s="6" t="s">
        <v>670</v>
      </c>
      <c r="G136" s="6" t="s">
        <v>671</v>
      </c>
      <c r="H136" s="6" t="s">
        <v>672</v>
      </c>
      <c r="I136" s="6" t="s">
        <v>35</v>
      </c>
      <c r="J136" s="6" t="s">
        <v>276</v>
      </c>
      <c r="K136" s="6" t="s">
        <v>224</v>
      </c>
      <c r="L136" s="13" t="n">
        <v>46204</v>
      </c>
      <c r="M136" s="6" t="n">
        <v>1</v>
      </c>
      <c r="N136" s="13" t="n">
        <v>46208</v>
      </c>
      <c r="O136" s="6" t="n">
        <v>1</v>
      </c>
      <c r="P136" s="6" t="s">
        <v>673</v>
      </c>
      <c r="Q136" s="8" t="n">
        <v>30800</v>
      </c>
      <c r="R136" s="6" t="s">
        <v>89</v>
      </c>
      <c r="S136" s="8" t="n">
        <f aca="false">IF(Q136="","",IF(R136="EUR",ROUND(Q136*Параметры!$B$3,0),Q136))</f>
        <v>30800</v>
      </c>
      <c r="T136" s="6" t="s">
        <v>15</v>
      </c>
      <c r="U136" s="6" t="s">
        <v>674</v>
      </c>
      <c r="V136" s="13" t="n">
        <v>46221</v>
      </c>
      <c r="W136" s="6" t="n">
        <f aca="false">IF(T136="Оплачено",1,0)</f>
        <v>1</v>
      </c>
      <c r="X136" s="6" t="n">
        <f aca="false">IF(OR(T136="Не дозвонились",Y136=0),0,1)</f>
        <v>1</v>
      </c>
      <c r="Y136" s="6" t="n">
        <v>1</v>
      </c>
      <c r="Z136" s="6"/>
      <c r="AA136" s="6" t="s">
        <v>675</v>
      </c>
      <c r="AB136" s="6"/>
    </row>
    <row r="137" customFormat="false" ht="15" hidden="false" customHeight="false" outlineLevel="0" collapsed="false">
      <c r="A137" s="6" t="n">
        <v>136</v>
      </c>
      <c r="B137" s="6" t="s">
        <v>30</v>
      </c>
      <c r="C137" s="6" t="s">
        <v>676</v>
      </c>
      <c r="D137" s="13" t="n">
        <v>46198</v>
      </c>
      <c r="E137" s="6" t="n">
        <f aca="false">MONTH(D137)</f>
        <v>6</v>
      </c>
      <c r="F137" s="6" t="s">
        <v>677</v>
      </c>
      <c r="G137" s="6" t="s">
        <v>678</v>
      </c>
      <c r="H137" s="6" t="s">
        <v>161</v>
      </c>
      <c r="I137" s="6" t="s">
        <v>34</v>
      </c>
      <c r="J137" s="6" t="s">
        <v>383</v>
      </c>
      <c r="K137" s="6" t="s">
        <v>281</v>
      </c>
      <c r="L137" s="13"/>
      <c r="M137" s="6" t="n">
        <v>0</v>
      </c>
      <c r="N137" s="13"/>
      <c r="O137" s="6" t="n">
        <v>0</v>
      </c>
      <c r="P137" s="6"/>
      <c r="Q137" s="8"/>
      <c r="R137" s="6"/>
      <c r="S137" s="8" t="str">
        <f aca="false">IF(Q137="","",IF(R137="EUR",ROUND(Q137*Параметры!$B$3,0),Q137))</f>
        <v/>
      </c>
      <c r="T137" s="6" t="s">
        <v>71</v>
      </c>
      <c r="U137" s="6" t="s">
        <v>225</v>
      </c>
      <c r="V137" s="13"/>
      <c r="W137" s="6" t="n">
        <f aca="false">IF(T137="Оплачено",1,0)</f>
        <v>0</v>
      </c>
      <c r="X137" s="6" t="n">
        <f aca="false">IF(OR(T137="Не дозвонились",Y137=0),0,1)</f>
        <v>1</v>
      </c>
      <c r="Y137" s="6" t="n">
        <v>1</v>
      </c>
      <c r="Z137" s="6"/>
      <c r="AA137" s="6" t="s">
        <v>679</v>
      </c>
      <c r="AB137" s="6" t="s">
        <v>180</v>
      </c>
    </row>
    <row r="138" customFormat="false" ht="15" hidden="false" customHeight="false" outlineLevel="0" collapsed="false">
      <c r="A138" s="6" t="n">
        <v>137</v>
      </c>
      <c r="B138" s="6" t="s">
        <v>28</v>
      </c>
      <c r="C138" s="6" t="s">
        <v>680</v>
      </c>
      <c r="D138" s="13" t="n">
        <v>46199</v>
      </c>
      <c r="E138" s="6" t="n">
        <f aca="false">MONTH(D138)</f>
        <v>6</v>
      </c>
      <c r="F138" s="6" t="s">
        <v>681</v>
      </c>
      <c r="G138" s="6" t="s">
        <v>682</v>
      </c>
      <c r="H138" s="6" t="s">
        <v>197</v>
      </c>
      <c r="I138" s="6" t="s">
        <v>34</v>
      </c>
      <c r="J138" s="6" t="s">
        <v>97</v>
      </c>
      <c r="K138" s="6" t="s">
        <v>234</v>
      </c>
      <c r="L138" s="13" t="n">
        <v>46201</v>
      </c>
      <c r="M138" s="6" t="n">
        <v>1</v>
      </c>
      <c r="N138" s="13" t="n">
        <v>46202</v>
      </c>
      <c r="O138" s="6" t="n">
        <v>1</v>
      </c>
      <c r="P138" s="6" t="s">
        <v>683</v>
      </c>
      <c r="Q138" s="8" t="n">
        <v>2500</v>
      </c>
      <c r="R138" s="6" t="s">
        <v>89</v>
      </c>
      <c r="S138" s="8" t="n">
        <f aca="false">IF(Q138="","",IF(R138="EUR",ROUND(Q138*Параметры!$B$3,0),Q138))</f>
        <v>2500</v>
      </c>
      <c r="T138" s="6" t="s">
        <v>71</v>
      </c>
      <c r="U138" s="6" t="s">
        <v>71</v>
      </c>
      <c r="V138" s="13"/>
      <c r="W138" s="6" t="n">
        <f aca="false">IF(T138="Оплачено",1,0)</f>
        <v>0</v>
      </c>
      <c r="X138" s="6" t="n">
        <f aca="false">IF(OR(T138="Не дозвонились",Y138=0),0,1)</f>
        <v>1</v>
      </c>
      <c r="Y138" s="6" t="n">
        <v>1</v>
      </c>
      <c r="Z138" s="6"/>
      <c r="AA138" s="6"/>
      <c r="AB138" s="6"/>
    </row>
    <row r="139" customFormat="false" ht="15" hidden="false" customHeight="false" outlineLevel="0" collapsed="false">
      <c r="A139" s="14" t="n">
        <v>138</v>
      </c>
      <c r="B139" s="14" t="s">
        <v>28</v>
      </c>
      <c r="C139" s="14" t="s">
        <v>684</v>
      </c>
      <c r="D139" s="15" t="n">
        <v>46199</v>
      </c>
      <c r="E139" s="14" t="n">
        <f aca="false">MONTH(D139)</f>
        <v>6</v>
      </c>
      <c r="F139" s="14" t="s">
        <v>685</v>
      </c>
      <c r="G139" s="14" t="s">
        <v>686</v>
      </c>
      <c r="H139" s="14" t="s">
        <v>155</v>
      </c>
      <c r="I139" s="14" t="s">
        <v>37</v>
      </c>
      <c r="J139" s="14" t="s">
        <v>313</v>
      </c>
      <c r="K139" s="14" t="s">
        <v>156</v>
      </c>
      <c r="L139" s="15"/>
      <c r="M139" s="14" t="n">
        <v>0</v>
      </c>
      <c r="N139" s="15"/>
      <c r="O139" s="14" t="n">
        <v>0</v>
      </c>
      <c r="P139" s="14"/>
      <c r="Q139" s="16"/>
      <c r="R139" s="14"/>
      <c r="S139" s="16" t="str">
        <f aca="false">IF(Q139="","",IF(R139="EUR",ROUND(Q139*Параметры!$B$3,0),Q139))</f>
        <v/>
      </c>
      <c r="T139" s="14" t="s">
        <v>80</v>
      </c>
      <c r="U139" s="14" t="s">
        <v>163</v>
      </c>
      <c r="V139" s="15"/>
      <c r="W139" s="14" t="n">
        <f aca="false">IF(T139="Оплачено",1,0)</f>
        <v>0</v>
      </c>
      <c r="X139" s="14" t="n">
        <f aca="false">IF(OR(T139="Не дозвонились",Y139=0),0,1)</f>
        <v>0</v>
      </c>
      <c r="Y139" s="14" t="n">
        <v>0</v>
      </c>
      <c r="Z139" s="14" t="s">
        <v>687</v>
      </c>
      <c r="AA139" s="14"/>
      <c r="AB139" s="14"/>
    </row>
    <row r="140" customFormat="false" ht="15" hidden="false" customHeight="false" outlineLevel="0" collapsed="false">
      <c r="A140" s="6" t="n">
        <v>139</v>
      </c>
      <c r="B140" s="6" t="s">
        <v>29</v>
      </c>
      <c r="C140" s="6" t="s">
        <v>688</v>
      </c>
      <c r="D140" s="13" t="n">
        <v>46199</v>
      </c>
      <c r="E140" s="6" t="n">
        <f aca="false">MONTH(D140)</f>
        <v>6</v>
      </c>
      <c r="F140" s="6" t="s">
        <v>689</v>
      </c>
      <c r="G140" s="6" t="s">
        <v>690</v>
      </c>
      <c r="H140" s="6" t="s">
        <v>114</v>
      </c>
      <c r="I140" s="6" t="s">
        <v>34</v>
      </c>
      <c r="J140" s="6" t="s">
        <v>383</v>
      </c>
      <c r="K140" s="6" t="s">
        <v>143</v>
      </c>
      <c r="L140" s="13" t="n">
        <v>46201</v>
      </c>
      <c r="M140" s="6" t="n">
        <v>1</v>
      </c>
      <c r="N140" s="13" t="n">
        <v>46203</v>
      </c>
      <c r="O140" s="6" t="n">
        <v>1</v>
      </c>
      <c r="P140" s="6" t="s">
        <v>691</v>
      </c>
      <c r="Q140" s="8" t="n">
        <v>22000</v>
      </c>
      <c r="R140" s="6" t="s">
        <v>89</v>
      </c>
      <c r="S140" s="8" t="n">
        <f aca="false">IF(Q140="","",IF(R140="EUR",ROUND(Q140*Параметры!$B$3,0),Q140))</f>
        <v>22000</v>
      </c>
      <c r="T140" s="6" t="s">
        <v>71</v>
      </c>
      <c r="U140" s="6" t="s">
        <v>72</v>
      </c>
      <c r="V140" s="13"/>
      <c r="W140" s="6" t="n">
        <f aca="false">IF(T140="Оплачено",1,0)</f>
        <v>0</v>
      </c>
      <c r="X140" s="6" t="n">
        <f aca="false">IF(OR(T140="Не дозвонились",Y140=0),0,1)</f>
        <v>1</v>
      </c>
      <c r="Y140" s="6" t="n">
        <v>1</v>
      </c>
      <c r="Z140" s="6"/>
      <c r="AA140" s="6" t="s">
        <v>692</v>
      </c>
      <c r="AB140" s="6"/>
    </row>
    <row r="141" customFormat="false" ht="15" hidden="false" customHeight="false" outlineLevel="0" collapsed="false">
      <c r="A141" s="6" t="n">
        <v>140</v>
      </c>
      <c r="B141" s="6" t="s">
        <v>29</v>
      </c>
      <c r="C141" s="6" t="s">
        <v>693</v>
      </c>
      <c r="D141" s="13" t="n">
        <v>46199</v>
      </c>
      <c r="E141" s="6" t="n">
        <f aca="false">MONTH(D141)</f>
        <v>6</v>
      </c>
      <c r="F141" s="6" t="s">
        <v>694</v>
      </c>
      <c r="G141" s="6" t="s">
        <v>695</v>
      </c>
      <c r="H141" s="6" t="s">
        <v>696</v>
      </c>
      <c r="I141" s="6" t="s">
        <v>34</v>
      </c>
      <c r="J141" s="6" t="s">
        <v>34</v>
      </c>
      <c r="K141" s="6" t="s">
        <v>239</v>
      </c>
      <c r="L141" s="13" t="n">
        <v>46204</v>
      </c>
      <c r="M141" s="6" t="n">
        <v>1</v>
      </c>
      <c r="N141" s="13" t="n">
        <v>46212</v>
      </c>
      <c r="O141" s="6" t="n">
        <v>1</v>
      </c>
      <c r="P141" s="6" t="s">
        <v>697</v>
      </c>
      <c r="Q141" s="8" t="n">
        <v>21600</v>
      </c>
      <c r="R141" s="6" t="s">
        <v>89</v>
      </c>
      <c r="S141" s="8" t="n">
        <f aca="false">IF(Q141="","",IF(R141="EUR",ROUND(Q141*Параметры!$B$3,0),Q141))</f>
        <v>21600</v>
      </c>
      <c r="T141" s="6" t="s">
        <v>90</v>
      </c>
      <c r="U141" s="6" t="s">
        <v>434</v>
      </c>
      <c r="V141" s="13"/>
      <c r="W141" s="6" t="n">
        <f aca="false">IF(T141="Оплачено",1,0)</f>
        <v>0</v>
      </c>
      <c r="X141" s="6" t="n">
        <f aca="false">IF(OR(T141="Не дозвонились",Y141=0),0,1)</f>
        <v>1</v>
      </c>
      <c r="Y141" s="6" t="n">
        <v>1</v>
      </c>
      <c r="Z141" s="6"/>
      <c r="AA141" s="6"/>
      <c r="AB141" s="6"/>
    </row>
    <row r="142" customFormat="false" ht="15" hidden="false" customHeight="false" outlineLevel="0" collapsed="false">
      <c r="A142" s="14" t="n">
        <v>141</v>
      </c>
      <c r="B142" s="14" t="s">
        <v>29</v>
      </c>
      <c r="C142" s="14" t="s">
        <v>698</v>
      </c>
      <c r="D142" s="15" t="n">
        <v>46199</v>
      </c>
      <c r="E142" s="14" t="n">
        <f aca="false">MONTH(D142)</f>
        <v>6</v>
      </c>
      <c r="F142" s="14" t="s">
        <v>689</v>
      </c>
      <c r="G142" s="14" t="s">
        <v>690</v>
      </c>
      <c r="H142" s="14" t="s">
        <v>114</v>
      </c>
      <c r="I142" s="14" t="s">
        <v>34</v>
      </c>
      <c r="J142" s="14" t="s">
        <v>383</v>
      </c>
      <c r="K142" s="14" t="s">
        <v>143</v>
      </c>
      <c r="L142" s="15" t="n">
        <v>46201</v>
      </c>
      <c r="M142" s="14" t="n">
        <v>1</v>
      </c>
      <c r="N142" s="15" t="n">
        <v>46203</v>
      </c>
      <c r="O142" s="14" t="n">
        <v>1</v>
      </c>
      <c r="P142" s="14" t="s">
        <v>691</v>
      </c>
      <c r="Q142" s="16" t="n">
        <v>22000</v>
      </c>
      <c r="R142" s="14" t="s">
        <v>89</v>
      </c>
      <c r="S142" s="16" t="n">
        <f aca="false">IF(Q142="","",IF(R142="EUR",ROUND(Q142*Параметры!$B$3,0),Q142))</f>
        <v>22000</v>
      </c>
      <c r="T142" s="14" t="s">
        <v>71</v>
      </c>
      <c r="U142" s="14" t="s">
        <v>72</v>
      </c>
      <c r="V142" s="15"/>
      <c r="W142" s="14" t="n">
        <f aca="false">IF(T142="Оплачено",1,0)</f>
        <v>0</v>
      </c>
      <c r="X142" s="14" t="n">
        <f aca="false">IF(OR(T142="Не дозвонились",Y142=0),0,1)</f>
        <v>0</v>
      </c>
      <c r="Y142" s="14" t="n">
        <v>0</v>
      </c>
      <c r="Z142" s="14" t="s">
        <v>699</v>
      </c>
      <c r="AA142" s="14"/>
      <c r="AB142" s="14"/>
    </row>
    <row r="143" customFormat="false" ht="15" hidden="false" customHeight="false" outlineLevel="0" collapsed="false">
      <c r="A143" s="6" t="n">
        <v>142</v>
      </c>
      <c r="B143" s="6" t="s">
        <v>30</v>
      </c>
      <c r="C143" s="6" t="s">
        <v>700</v>
      </c>
      <c r="D143" s="13" t="n">
        <v>46199</v>
      </c>
      <c r="E143" s="6" t="n">
        <f aca="false">MONTH(D143)</f>
        <v>6</v>
      </c>
      <c r="F143" s="6" t="s">
        <v>701</v>
      </c>
      <c r="G143" s="6" t="s">
        <v>702</v>
      </c>
      <c r="H143" s="6" t="s">
        <v>243</v>
      </c>
      <c r="I143" s="6" t="s">
        <v>37</v>
      </c>
      <c r="J143" s="6" t="s">
        <v>185</v>
      </c>
      <c r="K143" s="6" t="s">
        <v>215</v>
      </c>
      <c r="L143" s="13"/>
      <c r="M143" s="6" t="n">
        <v>0</v>
      </c>
      <c r="N143" s="13"/>
      <c r="O143" s="6" t="n">
        <v>0</v>
      </c>
      <c r="P143" s="6"/>
      <c r="Q143" s="8"/>
      <c r="R143" s="6"/>
      <c r="S143" s="8" t="str">
        <f aca="false">IF(Q143="","",IF(R143="EUR",ROUND(Q143*Параметры!$B$3,0),Q143))</f>
        <v/>
      </c>
      <c r="T143" s="6" t="s">
        <v>71</v>
      </c>
      <c r="U143" s="6" t="s">
        <v>225</v>
      </c>
      <c r="V143" s="13"/>
      <c r="W143" s="6" t="n">
        <f aca="false">IF(T143="Оплачено",1,0)</f>
        <v>0</v>
      </c>
      <c r="X143" s="6" t="n">
        <f aca="false">IF(OR(T143="Не дозвонились",Y143=0),0,1)</f>
        <v>1</v>
      </c>
      <c r="Y143" s="6" t="n">
        <v>1</v>
      </c>
      <c r="Z143" s="6"/>
      <c r="AA143" s="6"/>
      <c r="AB143" s="6" t="s">
        <v>235</v>
      </c>
    </row>
    <row r="144" customFormat="false" ht="15" hidden="false" customHeight="false" outlineLevel="0" collapsed="false">
      <c r="A144" s="6" t="n">
        <v>143</v>
      </c>
      <c r="B144" s="6" t="s">
        <v>28</v>
      </c>
      <c r="C144" s="6" t="s">
        <v>703</v>
      </c>
      <c r="D144" s="13" t="n">
        <v>46200</v>
      </c>
      <c r="E144" s="6" t="n">
        <f aca="false">MONTH(D144)</f>
        <v>6</v>
      </c>
      <c r="F144" s="6" t="s">
        <v>704</v>
      </c>
      <c r="G144" s="6" t="s">
        <v>705</v>
      </c>
      <c r="H144" s="6" t="s">
        <v>286</v>
      </c>
      <c r="I144" s="6" t="s">
        <v>34</v>
      </c>
      <c r="J144" s="6" t="s">
        <v>34</v>
      </c>
      <c r="K144" s="6" t="s">
        <v>234</v>
      </c>
      <c r="L144" s="13"/>
      <c r="M144" s="6" t="n">
        <v>0</v>
      </c>
      <c r="N144" s="13"/>
      <c r="O144" s="6" t="n">
        <v>0</v>
      </c>
      <c r="P144" s="6"/>
      <c r="Q144" s="8"/>
      <c r="R144" s="6"/>
      <c r="S144" s="8" t="str">
        <f aca="false">IF(Q144="","",IF(R144="EUR",ROUND(Q144*Параметры!$B$3,0),Q144))</f>
        <v/>
      </c>
      <c r="T144" s="6" t="s">
        <v>71</v>
      </c>
      <c r="U144" s="6" t="s">
        <v>71</v>
      </c>
      <c r="V144" s="13"/>
      <c r="W144" s="6" t="n">
        <f aca="false">IF(T144="Оплачено",1,0)</f>
        <v>0</v>
      </c>
      <c r="X144" s="6" t="n">
        <f aca="false">IF(OR(T144="Не дозвонились",Y144=0),0,1)</f>
        <v>1</v>
      </c>
      <c r="Y144" s="6" t="n">
        <v>1</v>
      </c>
      <c r="Z144" s="6"/>
      <c r="AA144" s="6"/>
      <c r="AB144" s="6" t="s">
        <v>209</v>
      </c>
    </row>
    <row r="145" customFormat="false" ht="15" hidden="false" customHeight="false" outlineLevel="0" collapsed="false">
      <c r="A145" s="6" t="n">
        <v>144</v>
      </c>
      <c r="B145" s="6" t="s">
        <v>28</v>
      </c>
      <c r="C145" s="6" t="s">
        <v>706</v>
      </c>
      <c r="D145" s="13" t="n">
        <v>46200</v>
      </c>
      <c r="E145" s="6" t="n">
        <f aca="false">MONTH(D145)</f>
        <v>6</v>
      </c>
      <c r="F145" s="6" t="s">
        <v>707</v>
      </c>
      <c r="G145" s="6" t="s">
        <v>708</v>
      </c>
      <c r="H145" s="6" t="s">
        <v>184</v>
      </c>
      <c r="I145" s="6" t="s">
        <v>35</v>
      </c>
      <c r="J145" s="6" t="s">
        <v>35</v>
      </c>
      <c r="K145" s="6" t="s">
        <v>234</v>
      </c>
      <c r="L145" s="13"/>
      <c r="M145" s="6" t="n">
        <v>0</v>
      </c>
      <c r="N145" s="13"/>
      <c r="O145" s="6" t="n">
        <v>0</v>
      </c>
      <c r="P145" s="6"/>
      <c r="Q145" s="8"/>
      <c r="R145" s="6"/>
      <c r="S145" s="8" t="str">
        <f aca="false">IF(Q145="","",IF(R145="EUR",ROUND(Q145*Параметры!$B$3,0),Q145))</f>
        <v/>
      </c>
      <c r="T145" s="6" t="s">
        <v>71</v>
      </c>
      <c r="U145" s="6" t="s">
        <v>71</v>
      </c>
      <c r="V145" s="13"/>
      <c r="W145" s="6" t="n">
        <f aca="false">IF(T145="Оплачено",1,0)</f>
        <v>0</v>
      </c>
      <c r="X145" s="6" t="n">
        <f aca="false">IF(OR(T145="Не дозвонились",Y145=0),0,1)</f>
        <v>1</v>
      </c>
      <c r="Y145" s="6" t="n">
        <v>1</v>
      </c>
      <c r="Z145" s="6"/>
      <c r="AA145" s="6"/>
      <c r="AB145" s="6" t="s">
        <v>709</v>
      </c>
    </row>
    <row r="146" customFormat="false" ht="15" hidden="false" customHeight="false" outlineLevel="0" collapsed="false">
      <c r="A146" s="6" t="n">
        <v>145</v>
      </c>
      <c r="B146" s="6" t="s">
        <v>30</v>
      </c>
      <c r="C146" s="6" t="s">
        <v>710</v>
      </c>
      <c r="D146" s="13" t="n">
        <v>46200</v>
      </c>
      <c r="E146" s="6" t="n">
        <f aca="false">MONTH(D146)</f>
        <v>6</v>
      </c>
      <c r="F146" s="6" t="s">
        <v>711</v>
      </c>
      <c r="G146" s="6"/>
      <c r="H146" s="6" t="s">
        <v>243</v>
      </c>
      <c r="I146" s="6" t="s">
        <v>37</v>
      </c>
      <c r="J146" s="6" t="s">
        <v>185</v>
      </c>
      <c r="K146" s="6" t="s">
        <v>133</v>
      </c>
      <c r="L146" s="13" t="n">
        <v>46202</v>
      </c>
      <c r="M146" s="6" t="n">
        <v>1</v>
      </c>
      <c r="N146" s="13" t="n">
        <v>46205</v>
      </c>
      <c r="O146" s="6" t="n">
        <v>1</v>
      </c>
      <c r="P146" s="6" t="s">
        <v>712</v>
      </c>
      <c r="Q146" s="8" t="n">
        <v>15300</v>
      </c>
      <c r="R146" s="6" t="s">
        <v>89</v>
      </c>
      <c r="S146" s="8" t="n">
        <f aca="false">IF(Q146="","",IF(R146="EUR",ROUND(Q146*Параметры!$B$3,0),Q146))</f>
        <v>15300</v>
      </c>
      <c r="T146" s="6" t="s">
        <v>71</v>
      </c>
      <c r="U146" s="6" t="s">
        <v>72</v>
      </c>
      <c r="V146" s="13"/>
      <c r="W146" s="6" t="n">
        <f aca="false">IF(T146="Оплачено",1,0)</f>
        <v>0</v>
      </c>
      <c r="X146" s="6" t="n">
        <f aca="false">IF(OR(T146="Не дозвонились",Y146=0),0,1)</f>
        <v>1</v>
      </c>
      <c r="Y146" s="6" t="n">
        <v>1</v>
      </c>
      <c r="Z146" s="6"/>
      <c r="AA146" s="6"/>
      <c r="AB146" s="6"/>
    </row>
    <row r="147" customFormat="false" ht="15" hidden="false" customHeight="false" outlineLevel="0" collapsed="false">
      <c r="A147" s="6" t="n">
        <v>146</v>
      </c>
      <c r="B147" s="6" t="s">
        <v>30</v>
      </c>
      <c r="C147" s="6" t="s">
        <v>713</v>
      </c>
      <c r="D147" s="13" t="n">
        <v>46200</v>
      </c>
      <c r="E147" s="6" t="n">
        <f aca="false">MONTH(D147)</f>
        <v>6</v>
      </c>
      <c r="F147" s="6" t="s">
        <v>714</v>
      </c>
      <c r="G147" s="6" t="s">
        <v>715</v>
      </c>
      <c r="H147" s="6" t="s">
        <v>161</v>
      </c>
      <c r="I147" s="6" t="s">
        <v>34</v>
      </c>
      <c r="J147" s="6" t="s">
        <v>132</v>
      </c>
      <c r="K147" s="6" t="s">
        <v>666</v>
      </c>
      <c r="L147" s="13"/>
      <c r="M147" s="6" t="n">
        <v>0</v>
      </c>
      <c r="N147" s="13"/>
      <c r="O147" s="6" t="n">
        <v>0</v>
      </c>
      <c r="P147" s="6"/>
      <c r="Q147" s="8"/>
      <c r="R147" s="6"/>
      <c r="S147" s="8" t="str">
        <f aca="false">IF(Q147="","",IF(R147="EUR",ROUND(Q147*Параметры!$B$3,0),Q147))</f>
        <v/>
      </c>
      <c r="T147" s="6" t="s">
        <v>150</v>
      </c>
      <c r="U147" s="6" t="s">
        <v>151</v>
      </c>
      <c r="V147" s="13"/>
      <c r="W147" s="6" t="n">
        <f aca="false">IF(T147="Оплачено",1,0)</f>
        <v>0</v>
      </c>
      <c r="X147" s="6" t="n">
        <f aca="false">IF(OR(T147="Не дозвонились",Y147=0),0,1)</f>
        <v>1</v>
      </c>
      <c r="Y147" s="6" t="n">
        <v>1</v>
      </c>
      <c r="Z147" s="6"/>
      <c r="AA147" s="6" t="s">
        <v>716</v>
      </c>
      <c r="AB147" s="6"/>
    </row>
    <row r="148" customFormat="false" ht="15" hidden="false" customHeight="false" outlineLevel="0" collapsed="false">
      <c r="A148" s="14" t="n">
        <v>147</v>
      </c>
      <c r="B148" s="14" t="s">
        <v>30</v>
      </c>
      <c r="C148" s="14" t="s">
        <v>717</v>
      </c>
      <c r="D148" s="15" t="n">
        <v>46200</v>
      </c>
      <c r="E148" s="14" t="n">
        <f aca="false">MONTH(D148)</f>
        <v>6</v>
      </c>
      <c r="F148" s="14" t="s">
        <v>714</v>
      </c>
      <c r="G148" s="14" t="s">
        <v>715</v>
      </c>
      <c r="H148" s="14" t="s">
        <v>161</v>
      </c>
      <c r="I148" s="14" t="s">
        <v>34</v>
      </c>
      <c r="J148" s="14" t="s">
        <v>132</v>
      </c>
      <c r="K148" s="14" t="s">
        <v>666</v>
      </c>
      <c r="L148" s="15"/>
      <c r="M148" s="14" t="n">
        <v>0</v>
      </c>
      <c r="N148" s="15"/>
      <c r="O148" s="14" t="n">
        <v>0</v>
      </c>
      <c r="P148" s="14"/>
      <c r="Q148" s="16"/>
      <c r="R148" s="14"/>
      <c r="S148" s="16" t="str">
        <f aca="false">IF(Q148="","",IF(R148="EUR",ROUND(Q148*Параметры!$B$3,0),Q148))</f>
        <v/>
      </c>
      <c r="T148" s="14" t="s">
        <v>150</v>
      </c>
      <c r="U148" s="14" t="s">
        <v>151</v>
      </c>
      <c r="V148" s="15"/>
      <c r="W148" s="14" t="n">
        <f aca="false">IF(T148="Оплачено",1,0)</f>
        <v>0</v>
      </c>
      <c r="X148" s="14" t="n">
        <f aca="false">IF(OR(T148="Не дозвонились",Y148=0),0,1)</f>
        <v>0</v>
      </c>
      <c r="Y148" s="14" t="n">
        <v>0</v>
      </c>
      <c r="Z148" s="14" t="s">
        <v>718</v>
      </c>
      <c r="AA148" s="14"/>
      <c r="AB148" s="14"/>
    </row>
    <row r="149" customFormat="false" ht="15" hidden="false" customHeight="false" outlineLevel="0" collapsed="false">
      <c r="A149" s="6" t="n">
        <v>148</v>
      </c>
      <c r="B149" s="6" t="s">
        <v>30</v>
      </c>
      <c r="C149" s="6" t="s">
        <v>719</v>
      </c>
      <c r="D149" s="13" t="n">
        <v>46200</v>
      </c>
      <c r="E149" s="6" t="n">
        <f aca="false">MONTH(D149)</f>
        <v>6</v>
      </c>
      <c r="F149" s="6" t="s">
        <v>720</v>
      </c>
      <c r="G149" s="6"/>
      <c r="H149" s="6" t="s">
        <v>77</v>
      </c>
      <c r="I149" s="6" t="s">
        <v>38</v>
      </c>
      <c r="J149" s="6" t="s">
        <v>78</v>
      </c>
      <c r="K149" s="6" t="s">
        <v>224</v>
      </c>
      <c r="L149" s="13"/>
      <c r="M149" s="6" t="n">
        <v>0</v>
      </c>
      <c r="N149" s="13"/>
      <c r="O149" s="6" t="n">
        <v>0</v>
      </c>
      <c r="P149" s="6"/>
      <c r="Q149" s="8"/>
      <c r="R149" s="6"/>
      <c r="S149" s="8" t="str">
        <f aca="false">IF(Q149="","",IF(R149="EUR",ROUND(Q149*Параметры!$B$3,0),Q149))</f>
        <v/>
      </c>
      <c r="T149" s="6" t="s">
        <v>150</v>
      </c>
      <c r="U149" s="6" t="s">
        <v>151</v>
      </c>
      <c r="V149" s="13"/>
      <c r="W149" s="6" t="n">
        <f aca="false">IF(T149="Оплачено",1,0)</f>
        <v>0</v>
      </c>
      <c r="X149" s="6" t="n">
        <f aca="false">IF(OR(T149="Не дозвонились",Y149=0),0,1)</f>
        <v>1</v>
      </c>
      <c r="Y149" s="6" t="n">
        <v>1</v>
      </c>
      <c r="Z149" s="6"/>
      <c r="AA149" s="6"/>
      <c r="AB149" s="6" t="s">
        <v>235</v>
      </c>
    </row>
    <row r="150" customFormat="false" ht="15" hidden="false" customHeight="false" outlineLevel="0" collapsed="false">
      <c r="A150" s="6" t="n">
        <v>149</v>
      </c>
      <c r="B150" s="6" t="s">
        <v>30</v>
      </c>
      <c r="C150" s="6" t="s">
        <v>721</v>
      </c>
      <c r="D150" s="13" t="n">
        <v>46200</v>
      </c>
      <c r="E150" s="6" t="n">
        <f aca="false">MONTH(D150)</f>
        <v>6</v>
      </c>
      <c r="F150" s="6" t="s">
        <v>271</v>
      </c>
      <c r="G150" s="6" t="s">
        <v>722</v>
      </c>
      <c r="H150" s="6" t="s">
        <v>557</v>
      </c>
      <c r="I150" s="6" t="s">
        <v>36</v>
      </c>
      <c r="J150" s="6" t="s">
        <v>543</v>
      </c>
      <c r="K150" s="6" t="s">
        <v>277</v>
      </c>
      <c r="L150" s="13" t="n">
        <v>46202</v>
      </c>
      <c r="M150" s="6" t="n">
        <v>1</v>
      </c>
      <c r="N150" s="13" t="n">
        <v>46210</v>
      </c>
      <c r="O150" s="6" t="n">
        <v>1</v>
      </c>
      <c r="P150" s="6" t="s">
        <v>723</v>
      </c>
      <c r="Q150" s="8" t="n">
        <v>8400</v>
      </c>
      <c r="R150" s="6" t="s">
        <v>89</v>
      </c>
      <c r="S150" s="8" t="n">
        <f aca="false">IF(Q150="","",IF(R150="EUR",ROUND(Q150*Параметры!$B$3,0),Q150))</f>
        <v>8400</v>
      </c>
      <c r="T150" s="6" t="s">
        <v>71</v>
      </c>
      <c r="U150" s="6" t="s">
        <v>72</v>
      </c>
      <c r="V150" s="13"/>
      <c r="W150" s="6" t="n">
        <f aca="false">IF(T150="Оплачено",1,0)</f>
        <v>0</v>
      </c>
      <c r="X150" s="6" t="n">
        <f aca="false">IF(OR(T150="Не дозвонились",Y150=0),0,1)</f>
        <v>1</v>
      </c>
      <c r="Y150" s="6" t="n">
        <v>1</v>
      </c>
      <c r="Z150" s="6"/>
      <c r="AA150" s="6"/>
      <c r="AB150" s="6" t="s">
        <v>356</v>
      </c>
    </row>
    <row r="151" customFormat="false" ht="15" hidden="false" customHeight="false" outlineLevel="0" collapsed="false">
      <c r="A151" s="6" t="n">
        <v>150</v>
      </c>
      <c r="B151" s="6" t="s">
        <v>30</v>
      </c>
      <c r="C151" s="6" t="s">
        <v>724</v>
      </c>
      <c r="D151" s="13" t="n">
        <v>46200</v>
      </c>
      <c r="E151" s="6" t="n">
        <f aca="false">MONTH(D151)</f>
        <v>6</v>
      </c>
      <c r="F151" s="6" t="s">
        <v>725</v>
      </c>
      <c r="G151" s="6" t="s">
        <v>726</v>
      </c>
      <c r="H151" s="6" t="s">
        <v>161</v>
      </c>
      <c r="I151" s="6" t="s">
        <v>36</v>
      </c>
      <c r="J151" s="6" t="s">
        <v>727</v>
      </c>
      <c r="K151" s="6" t="s">
        <v>329</v>
      </c>
      <c r="L151" s="13"/>
      <c r="M151" s="6" t="n">
        <v>0</v>
      </c>
      <c r="N151" s="13"/>
      <c r="O151" s="6" t="n">
        <v>0</v>
      </c>
      <c r="P151" s="6"/>
      <c r="Q151" s="8"/>
      <c r="R151" s="6"/>
      <c r="S151" s="8" t="str">
        <f aca="false">IF(Q151="","",IF(R151="EUR",ROUND(Q151*Параметры!$B$3,0),Q151))</f>
        <v/>
      </c>
      <c r="T151" s="6" t="s">
        <v>150</v>
      </c>
      <c r="U151" s="6" t="s">
        <v>151</v>
      </c>
      <c r="V151" s="13"/>
      <c r="W151" s="6" t="n">
        <f aca="false">IF(T151="Оплачено",1,0)</f>
        <v>0</v>
      </c>
      <c r="X151" s="6" t="n">
        <f aca="false">IF(OR(T151="Не дозвонились",Y151=0),0,1)</f>
        <v>1</v>
      </c>
      <c r="Y151" s="6" t="n">
        <v>1</v>
      </c>
      <c r="Z151" s="6"/>
      <c r="AA151" s="6"/>
      <c r="AB151" s="6"/>
    </row>
    <row r="152" customFormat="false" ht="15" hidden="false" customHeight="false" outlineLevel="0" collapsed="false">
      <c r="A152" s="6" t="n">
        <v>151</v>
      </c>
      <c r="B152" s="6" t="s">
        <v>29</v>
      </c>
      <c r="C152" s="6" t="s">
        <v>728</v>
      </c>
      <c r="D152" s="13" t="n">
        <v>46201</v>
      </c>
      <c r="E152" s="6" t="n">
        <f aca="false">MONTH(D152)</f>
        <v>6</v>
      </c>
      <c r="F152" s="6" t="s">
        <v>729</v>
      </c>
      <c r="G152" s="6" t="s">
        <v>730</v>
      </c>
      <c r="H152" s="6" t="s">
        <v>96</v>
      </c>
      <c r="I152" s="6" t="s">
        <v>37</v>
      </c>
      <c r="J152" s="6" t="s">
        <v>69</v>
      </c>
      <c r="K152" s="6" t="s">
        <v>70</v>
      </c>
      <c r="L152" s="13" t="n">
        <v>46207</v>
      </c>
      <c r="M152" s="6" t="n">
        <v>1</v>
      </c>
      <c r="N152" s="13" t="n">
        <v>46207</v>
      </c>
      <c r="O152" s="6" t="n">
        <v>1</v>
      </c>
      <c r="P152" s="6" t="s">
        <v>731</v>
      </c>
      <c r="Q152" s="8" t="n">
        <v>5400</v>
      </c>
      <c r="R152" s="6" t="s">
        <v>89</v>
      </c>
      <c r="S152" s="8" t="n">
        <f aca="false">IF(Q152="","",IF(R152="EUR",ROUND(Q152*Параметры!$B$3,0),Q152))</f>
        <v>5400</v>
      </c>
      <c r="T152" s="6" t="s">
        <v>15</v>
      </c>
      <c r="U152" s="6" t="s">
        <v>616</v>
      </c>
      <c r="V152" s="13" t="n">
        <v>46211</v>
      </c>
      <c r="W152" s="6" t="n">
        <f aca="false">IF(T152="Оплачено",1,0)</f>
        <v>1</v>
      </c>
      <c r="X152" s="6" t="n">
        <f aca="false">IF(OR(T152="Не дозвонились",Y152=0),0,1)</f>
        <v>1</v>
      </c>
      <c r="Y152" s="6" t="n">
        <v>1</v>
      </c>
      <c r="Z152" s="6"/>
      <c r="AA152" s="6"/>
      <c r="AB152" s="6"/>
    </row>
    <row r="153" customFormat="false" ht="15" hidden="false" customHeight="false" outlineLevel="0" collapsed="false">
      <c r="A153" s="14" t="n">
        <v>152</v>
      </c>
      <c r="B153" s="14" t="s">
        <v>29</v>
      </c>
      <c r="C153" s="14" t="s">
        <v>732</v>
      </c>
      <c r="D153" s="15" t="n">
        <v>46201</v>
      </c>
      <c r="E153" s="14" t="n">
        <f aca="false">MONTH(D153)</f>
        <v>6</v>
      </c>
      <c r="F153" s="14" t="s">
        <v>677</v>
      </c>
      <c r="G153" s="14" t="s">
        <v>678</v>
      </c>
      <c r="H153" s="14" t="s">
        <v>96</v>
      </c>
      <c r="I153" s="14" t="s">
        <v>34</v>
      </c>
      <c r="J153" s="14" t="s">
        <v>383</v>
      </c>
      <c r="K153" s="14" t="s">
        <v>175</v>
      </c>
      <c r="L153" s="15"/>
      <c r="M153" s="14" t="n">
        <v>0</v>
      </c>
      <c r="N153" s="15"/>
      <c r="O153" s="14" t="n">
        <v>0</v>
      </c>
      <c r="P153" s="14"/>
      <c r="Q153" s="16"/>
      <c r="R153" s="14"/>
      <c r="S153" s="16" t="str">
        <f aca="false">IF(Q153="","",IF(R153="EUR",ROUND(Q153*Параметры!$B$3,0),Q153))</f>
        <v/>
      </c>
      <c r="T153" s="14" t="s">
        <v>80</v>
      </c>
      <c r="U153" s="14" t="s">
        <v>117</v>
      </c>
      <c r="V153" s="15"/>
      <c r="W153" s="14" t="n">
        <f aca="false">IF(T153="Оплачено",1,0)</f>
        <v>0</v>
      </c>
      <c r="X153" s="14" t="n">
        <f aca="false">IF(OR(T153="Не дозвонились",Y153=0),0,1)</f>
        <v>0</v>
      </c>
      <c r="Y153" s="14" t="n">
        <v>0</v>
      </c>
      <c r="Z153" s="14" t="s">
        <v>733</v>
      </c>
      <c r="AA153" s="14"/>
      <c r="AB153" s="14"/>
    </row>
    <row r="154" customFormat="false" ht="15" hidden="false" customHeight="false" outlineLevel="0" collapsed="false">
      <c r="A154" s="6" t="n">
        <v>153</v>
      </c>
      <c r="B154" s="6" t="s">
        <v>30</v>
      </c>
      <c r="C154" s="6" t="s">
        <v>734</v>
      </c>
      <c r="D154" s="13" t="n">
        <v>46201</v>
      </c>
      <c r="E154" s="6" t="n">
        <f aca="false">MONTH(D154)</f>
        <v>6</v>
      </c>
      <c r="F154" s="6" t="s">
        <v>735</v>
      </c>
      <c r="G154" s="6" t="s">
        <v>686</v>
      </c>
      <c r="H154" s="6" t="s">
        <v>155</v>
      </c>
      <c r="I154" s="6" t="s">
        <v>37</v>
      </c>
      <c r="J154" s="6" t="s">
        <v>185</v>
      </c>
      <c r="K154" s="6" t="s">
        <v>149</v>
      </c>
      <c r="L154" s="13"/>
      <c r="M154" s="6" t="n">
        <v>0</v>
      </c>
      <c r="N154" s="13"/>
      <c r="O154" s="6" t="n">
        <v>0</v>
      </c>
      <c r="P154" s="6"/>
      <c r="Q154" s="8"/>
      <c r="R154" s="6"/>
      <c r="S154" s="8" t="str">
        <f aca="false">IF(Q154="","",IF(R154="EUR",ROUND(Q154*Параметры!$B$3,0),Q154))</f>
        <v/>
      </c>
      <c r="T154" s="6" t="s">
        <v>150</v>
      </c>
      <c r="U154" s="6" t="s">
        <v>151</v>
      </c>
      <c r="V154" s="13"/>
      <c r="W154" s="6" t="n">
        <f aca="false">IF(T154="Оплачено",1,0)</f>
        <v>0</v>
      </c>
      <c r="X154" s="6" t="n">
        <f aca="false">IF(OR(T154="Не дозвонились",Y154=0),0,1)</f>
        <v>1</v>
      </c>
      <c r="Y154" s="6" t="n">
        <v>1</v>
      </c>
      <c r="Z154" s="6"/>
      <c r="AA154" s="6" t="s">
        <v>736</v>
      </c>
      <c r="AB154" s="6" t="s">
        <v>737</v>
      </c>
    </row>
    <row r="155" customFormat="false" ht="15" hidden="false" customHeight="false" outlineLevel="0" collapsed="false">
      <c r="A155" s="6" t="n">
        <v>154</v>
      </c>
      <c r="B155" s="6" t="s">
        <v>28</v>
      </c>
      <c r="C155" s="6" t="s">
        <v>738</v>
      </c>
      <c r="D155" s="13" t="n">
        <v>46202</v>
      </c>
      <c r="E155" s="6" t="n">
        <f aca="false">MONTH(D155)</f>
        <v>6</v>
      </c>
      <c r="F155" s="6" t="s">
        <v>739</v>
      </c>
      <c r="G155" s="6" t="s">
        <v>740</v>
      </c>
      <c r="H155" s="6" t="s">
        <v>324</v>
      </c>
      <c r="I155" s="6" t="s">
        <v>34</v>
      </c>
      <c r="J155" s="6" t="s">
        <v>34</v>
      </c>
      <c r="K155" s="6" t="s">
        <v>314</v>
      </c>
      <c r="L155" s="13" t="n">
        <v>46208</v>
      </c>
      <c r="M155" s="6" t="n">
        <v>1</v>
      </c>
      <c r="N155" s="13" t="n">
        <v>46208</v>
      </c>
      <c r="O155" s="6" t="n">
        <v>1</v>
      </c>
      <c r="P155" s="6" t="s">
        <v>741</v>
      </c>
      <c r="Q155" s="8" t="n">
        <v>72100</v>
      </c>
      <c r="R155" s="6" t="s">
        <v>89</v>
      </c>
      <c r="S155" s="8" t="n">
        <f aca="false">IF(Q155="","",IF(R155="EUR",ROUND(Q155*Параметры!$B$3,0),Q155))</f>
        <v>72100</v>
      </c>
      <c r="T155" s="6" t="s">
        <v>90</v>
      </c>
      <c r="U155" s="6" t="s">
        <v>90</v>
      </c>
      <c r="V155" s="13"/>
      <c r="W155" s="6" t="n">
        <f aca="false">IF(T155="Оплачено",1,0)</f>
        <v>0</v>
      </c>
      <c r="X155" s="6" t="n">
        <f aca="false">IF(OR(T155="Не дозвонились",Y155=0),0,1)</f>
        <v>1</v>
      </c>
      <c r="Y155" s="6" t="n">
        <v>1</v>
      </c>
      <c r="Z155" s="6"/>
      <c r="AA155" s="6"/>
      <c r="AB155" s="6" t="s">
        <v>282</v>
      </c>
    </row>
    <row r="156" customFormat="false" ht="15" hidden="false" customHeight="false" outlineLevel="0" collapsed="false">
      <c r="A156" s="6" t="n">
        <v>155</v>
      </c>
      <c r="B156" s="6" t="s">
        <v>28</v>
      </c>
      <c r="C156" s="6" t="s">
        <v>742</v>
      </c>
      <c r="D156" s="13" t="n">
        <v>46202</v>
      </c>
      <c r="E156" s="6" t="n">
        <f aca="false">MONTH(D156)</f>
        <v>6</v>
      </c>
      <c r="F156" s="6" t="s">
        <v>743</v>
      </c>
      <c r="G156" s="6" t="s">
        <v>744</v>
      </c>
      <c r="H156" s="6" t="s">
        <v>103</v>
      </c>
      <c r="I156" s="6" t="s">
        <v>37</v>
      </c>
      <c r="J156" s="6" t="s">
        <v>313</v>
      </c>
      <c r="K156" s="6" t="s">
        <v>287</v>
      </c>
      <c r="L156" s="13" t="n">
        <v>46205</v>
      </c>
      <c r="M156" s="6" t="n">
        <v>1</v>
      </c>
      <c r="N156" s="13" t="n">
        <v>46206</v>
      </c>
      <c r="O156" s="6" t="n">
        <v>1</v>
      </c>
      <c r="P156" s="6" t="s">
        <v>745</v>
      </c>
      <c r="Q156" s="8" t="n">
        <v>10600</v>
      </c>
      <c r="R156" s="6" t="s">
        <v>89</v>
      </c>
      <c r="S156" s="8" t="n">
        <f aca="false">IF(Q156="","",IF(R156="EUR",ROUND(Q156*Параметры!$B$3,0),Q156))</f>
        <v>10600</v>
      </c>
      <c r="T156" s="6" t="s">
        <v>15</v>
      </c>
      <c r="U156" s="6" t="s">
        <v>15</v>
      </c>
      <c r="V156" s="13" t="n">
        <v>46208</v>
      </c>
      <c r="W156" s="6" t="n">
        <f aca="false">IF(T156="Оплачено",1,0)</f>
        <v>1</v>
      </c>
      <c r="X156" s="6" t="n">
        <f aca="false">IF(OR(T156="Не дозвонились",Y156=0),0,1)</f>
        <v>1</v>
      </c>
      <c r="Y156" s="6" t="n">
        <v>1</v>
      </c>
      <c r="Z156" s="6"/>
      <c r="AA156" s="6"/>
      <c r="AB156" s="6"/>
    </row>
    <row r="157" customFormat="false" ht="15" hidden="false" customHeight="false" outlineLevel="0" collapsed="false">
      <c r="A157" s="6" t="n">
        <v>156</v>
      </c>
      <c r="B157" s="6" t="s">
        <v>28</v>
      </c>
      <c r="C157" s="6" t="s">
        <v>746</v>
      </c>
      <c r="D157" s="13" t="n">
        <v>46202</v>
      </c>
      <c r="E157" s="6" t="n">
        <f aca="false">MONTH(D157)</f>
        <v>6</v>
      </c>
      <c r="F157" s="6" t="s">
        <v>747</v>
      </c>
      <c r="G157" s="6" t="s">
        <v>748</v>
      </c>
      <c r="H157" s="6" t="s">
        <v>103</v>
      </c>
      <c r="I157" s="6" t="s">
        <v>34</v>
      </c>
      <c r="J157" s="6" t="s">
        <v>34</v>
      </c>
      <c r="K157" s="6" t="s">
        <v>379</v>
      </c>
      <c r="L157" s="13" t="n">
        <v>46204</v>
      </c>
      <c r="M157" s="6" t="n">
        <v>1</v>
      </c>
      <c r="N157" s="13" t="n">
        <v>46205</v>
      </c>
      <c r="O157" s="6" t="n">
        <v>1</v>
      </c>
      <c r="P157" s="6" t="s">
        <v>749</v>
      </c>
      <c r="Q157" s="8" t="n">
        <v>6200</v>
      </c>
      <c r="R157" s="6" t="s">
        <v>89</v>
      </c>
      <c r="S157" s="8" t="n">
        <f aca="false">IF(Q157="","",IF(R157="EUR",ROUND(Q157*Параметры!$B$3,0),Q157))</f>
        <v>6200</v>
      </c>
      <c r="T157" s="6" t="s">
        <v>15</v>
      </c>
      <c r="U157" s="6" t="s">
        <v>15</v>
      </c>
      <c r="V157" s="13" t="n">
        <v>46209</v>
      </c>
      <c r="W157" s="6" t="n">
        <f aca="false">IF(T157="Оплачено",1,0)</f>
        <v>1</v>
      </c>
      <c r="X157" s="6" t="n">
        <f aca="false">IF(OR(T157="Не дозвонились",Y157=0),0,1)</f>
        <v>1</v>
      </c>
      <c r="Y157" s="6" t="n">
        <v>1</v>
      </c>
      <c r="Z157" s="6"/>
      <c r="AA157" s="6"/>
      <c r="AB157" s="6" t="s">
        <v>750</v>
      </c>
    </row>
    <row r="158" customFormat="false" ht="15" hidden="false" customHeight="false" outlineLevel="0" collapsed="false">
      <c r="A158" s="6" t="n">
        <v>157</v>
      </c>
      <c r="B158" s="6" t="s">
        <v>28</v>
      </c>
      <c r="C158" s="6" t="s">
        <v>751</v>
      </c>
      <c r="D158" s="13" t="n">
        <v>46202</v>
      </c>
      <c r="E158" s="6" t="n">
        <f aca="false">MONTH(D158)</f>
        <v>6</v>
      </c>
      <c r="F158" s="6" t="s">
        <v>752</v>
      </c>
      <c r="G158" s="6" t="s">
        <v>753</v>
      </c>
      <c r="H158" s="6" t="s">
        <v>197</v>
      </c>
      <c r="I158" s="6" t="s">
        <v>38</v>
      </c>
      <c r="J158" s="6" t="s">
        <v>38</v>
      </c>
      <c r="K158" s="6" t="s">
        <v>379</v>
      </c>
      <c r="L158" s="13"/>
      <c r="M158" s="6" t="n">
        <v>0</v>
      </c>
      <c r="N158" s="13"/>
      <c r="O158" s="6" t="n">
        <v>0</v>
      </c>
      <c r="P158" s="6"/>
      <c r="Q158" s="8"/>
      <c r="R158" s="6"/>
      <c r="S158" s="8" t="str">
        <f aca="false">IF(Q158="","",IF(R158="EUR",ROUND(Q158*Параметры!$B$3,0),Q158))</f>
        <v/>
      </c>
      <c r="T158" s="6" t="s">
        <v>71</v>
      </c>
      <c r="U158" s="6" t="s">
        <v>71</v>
      </c>
      <c r="V158" s="13"/>
      <c r="W158" s="6" t="n">
        <f aca="false">IF(T158="Оплачено",1,0)</f>
        <v>0</v>
      </c>
      <c r="X158" s="6" t="n">
        <f aca="false">IF(OR(T158="Не дозвонились",Y158=0),0,1)</f>
        <v>1</v>
      </c>
      <c r="Y158" s="6" t="n">
        <v>1</v>
      </c>
      <c r="Z158" s="6"/>
      <c r="AA158" s="6"/>
      <c r="AB158" s="6" t="s">
        <v>204</v>
      </c>
    </row>
    <row r="159" customFormat="false" ht="15" hidden="false" customHeight="false" outlineLevel="0" collapsed="false">
      <c r="A159" s="6" t="n">
        <v>158</v>
      </c>
      <c r="B159" s="6" t="s">
        <v>30</v>
      </c>
      <c r="C159" s="6" t="s">
        <v>754</v>
      </c>
      <c r="D159" s="13" t="n">
        <v>46202</v>
      </c>
      <c r="E159" s="6" t="n">
        <f aca="false">MONTH(D159)</f>
        <v>6</v>
      </c>
      <c r="F159" s="6" t="s">
        <v>755</v>
      </c>
      <c r="G159" s="6" t="s">
        <v>756</v>
      </c>
      <c r="H159" s="6" t="s">
        <v>213</v>
      </c>
      <c r="I159" s="6" t="s">
        <v>35</v>
      </c>
      <c r="J159" s="6" t="s">
        <v>276</v>
      </c>
      <c r="K159" s="6" t="s">
        <v>79</v>
      </c>
      <c r="L159" s="13" t="n">
        <v>46205</v>
      </c>
      <c r="M159" s="6" t="n">
        <v>1</v>
      </c>
      <c r="N159" s="13" t="n">
        <v>46207</v>
      </c>
      <c r="O159" s="6" t="n">
        <v>1</v>
      </c>
      <c r="P159" s="6" t="s">
        <v>757</v>
      </c>
      <c r="Q159" s="8" t="n">
        <v>41400</v>
      </c>
      <c r="R159" s="6" t="s">
        <v>89</v>
      </c>
      <c r="S159" s="8" t="n">
        <f aca="false">IF(Q159="","",IF(R159="EUR",ROUND(Q159*Параметры!$B$3,0),Q159))</f>
        <v>41400</v>
      </c>
      <c r="T159" s="6" t="s">
        <v>15</v>
      </c>
      <c r="U159" s="6" t="s">
        <v>674</v>
      </c>
      <c r="V159" s="13"/>
      <c r="W159" s="6" t="n">
        <f aca="false">IF(T159="Оплачено",1,0)</f>
        <v>1</v>
      </c>
      <c r="X159" s="6" t="n">
        <f aca="false">IF(OR(T159="Не дозвонились",Y159=0),0,1)</f>
        <v>1</v>
      </c>
      <c r="Y159" s="6" t="n">
        <v>1</v>
      </c>
      <c r="Z159" s="6"/>
      <c r="AA159" s="6" t="s">
        <v>758</v>
      </c>
      <c r="AB159" s="6"/>
    </row>
    <row r="160" customFormat="false" ht="15" hidden="false" customHeight="false" outlineLevel="0" collapsed="false">
      <c r="A160" s="6" t="n">
        <v>159</v>
      </c>
      <c r="B160" s="6" t="s">
        <v>28</v>
      </c>
      <c r="C160" s="6" t="s">
        <v>759</v>
      </c>
      <c r="D160" s="13" t="n">
        <v>46203</v>
      </c>
      <c r="E160" s="6" t="n">
        <f aca="false">MONTH(D160)</f>
        <v>6</v>
      </c>
      <c r="F160" s="6" t="s">
        <v>760</v>
      </c>
      <c r="G160" s="6" t="s">
        <v>761</v>
      </c>
      <c r="H160" s="6" t="s">
        <v>103</v>
      </c>
      <c r="I160" s="6" t="s">
        <v>34</v>
      </c>
      <c r="J160" s="6" t="s">
        <v>34</v>
      </c>
      <c r="K160" s="6" t="s">
        <v>162</v>
      </c>
      <c r="L160" s="13"/>
      <c r="M160" s="6" t="n">
        <v>0</v>
      </c>
      <c r="N160" s="13"/>
      <c r="O160" s="6" t="n">
        <v>0</v>
      </c>
      <c r="P160" s="6"/>
      <c r="Q160" s="8"/>
      <c r="R160" s="6"/>
      <c r="S160" s="8" t="str">
        <f aca="false">IF(Q160="","",IF(R160="EUR",ROUND(Q160*Параметры!$B$3,0),Q160))</f>
        <v/>
      </c>
      <c r="T160" s="6" t="s">
        <v>71</v>
      </c>
      <c r="U160" s="6" t="s">
        <v>71</v>
      </c>
      <c r="V160" s="13"/>
      <c r="W160" s="6" t="n">
        <f aca="false">IF(T160="Оплачено",1,0)</f>
        <v>0</v>
      </c>
      <c r="X160" s="6" t="n">
        <f aca="false">IF(OR(T160="Не дозвонились",Y160=0),0,1)</f>
        <v>1</v>
      </c>
      <c r="Y160" s="6" t="n">
        <v>1</v>
      </c>
      <c r="Z160" s="6"/>
      <c r="AA160" s="6"/>
      <c r="AB160" s="6" t="s">
        <v>235</v>
      </c>
    </row>
    <row r="161" customFormat="false" ht="15" hidden="false" customHeight="false" outlineLevel="0" collapsed="false">
      <c r="A161" s="6" t="n">
        <v>160</v>
      </c>
      <c r="B161" s="6" t="s">
        <v>28</v>
      </c>
      <c r="C161" s="6" t="s">
        <v>762</v>
      </c>
      <c r="D161" s="13" t="n">
        <v>46203</v>
      </c>
      <c r="E161" s="6" t="n">
        <f aca="false">MONTH(D161)</f>
        <v>6</v>
      </c>
      <c r="F161" s="6" t="s">
        <v>763</v>
      </c>
      <c r="G161" s="6" t="s">
        <v>764</v>
      </c>
      <c r="H161" s="6" t="s">
        <v>286</v>
      </c>
      <c r="I161" s="6" t="s">
        <v>35</v>
      </c>
      <c r="J161" s="6" t="s">
        <v>35</v>
      </c>
      <c r="K161" s="6" t="s">
        <v>162</v>
      </c>
      <c r="L161" s="13"/>
      <c r="M161" s="6" t="n">
        <v>0</v>
      </c>
      <c r="N161" s="13"/>
      <c r="O161" s="6" t="n">
        <v>0</v>
      </c>
      <c r="P161" s="6"/>
      <c r="Q161" s="8"/>
      <c r="R161" s="6"/>
      <c r="S161" s="8" t="str">
        <f aca="false">IF(Q161="","",IF(R161="EUR",ROUND(Q161*Параметры!$B$3,0),Q161))</f>
        <v/>
      </c>
      <c r="T161" s="6" t="s">
        <v>80</v>
      </c>
      <c r="U161" s="6" t="s">
        <v>163</v>
      </c>
      <c r="V161" s="13"/>
      <c r="W161" s="6" t="n">
        <f aca="false">IF(T161="Оплачено",1,0)</f>
        <v>0</v>
      </c>
      <c r="X161" s="6" t="n">
        <f aca="false">IF(OR(T161="Не дозвонились",Y161=0),0,1)</f>
        <v>0</v>
      </c>
      <c r="Y161" s="6" t="n">
        <v>1</v>
      </c>
      <c r="Z161" s="6"/>
      <c r="AA161" s="6"/>
      <c r="AB161" s="6"/>
    </row>
    <row r="162" customFormat="false" ht="15" hidden="false" customHeight="false" outlineLevel="0" collapsed="false">
      <c r="A162" s="6" t="n">
        <v>161</v>
      </c>
      <c r="B162" s="6" t="s">
        <v>28</v>
      </c>
      <c r="C162" s="6" t="s">
        <v>765</v>
      </c>
      <c r="D162" s="13" t="n">
        <v>46203</v>
      </c>
      <c r="E162" s="6" t="n">
        <f aca="false">MONTH(D162)</f>
        <v>6</v>
      </c>
      <c r="F162" s="6" t="s">
        <v>766</v>
      </c>
      <c r="G162" s="6" t="s">
        <v>767</v>
      </c>
      <c r="H162" s="6" t="s">
        <v>96</v>
      </c>
      <c r="I162" s="6" t="s">
        <v>38</v>
      </c>
      <c r="J162" s="6" t="s">
        <v>38</v>
      </c>
      <c r="K162" s="6" t="s">
        <v>156</v>
      </c>
      <c r="L162" s="13"/>
      <c r="M162" s="6" t="n">
        <v>0</v>
      </c>
      <c r="N162" s="13"/>
      <c r="O162" s="6" t="n">
        <v>0</v>
      </c>
      <c r="P162" s="6"/>
      <c r="Q162" s="8"/>
      <c r="R162" s="6"/>
      <c r="S162" s="8" t="str">
        <f aca="false">IF(Q162="","",IF(R162="EUR",ROUND(Q162*Параметры!$B$3,0),Q162))</f>
        <v/>
      </c>
      <c r="T162" s="6" t="s">
        <v>71</v>
      </c>
      <c r="U162" s="6" t="s">
        <v>71</v>
      </c>
      <c r="V162" s="13"/>
      <c r="W162" s="6" t="n">
        <f aca="false">IF(T162="Оплачено",1,0)</f>
        <v>0</v>
      </c>
      <c r="X162" s="6" t="n">
        <f aca="false">IF(OR(T162="Не дозвонились",Y162=0),0,1)</f>
        <v>1</v>
      </c>
      <c r="Y162" s="6" t="n">
        <v>1</v>
      </c>
      <c r="Z162" s="6"/>
      <c r="AA162" s="6"/>
      <c r="AB162" s="6" t="s">
        <v>209</v>
      </c>
    </row>
    <row r="163" customFormat="false" ht="15" hidden="false" customHeight="false" outlineLevel="0" collapsed="false">
      <c r="A163" s="6" t="n">
        <v>162</v>
      </c>
      <c r="B163" s="6" t="s">
        <v>29</v>
      </c>
      <c r="C163" s="6" t="s">
        <v>768</v>
      </c>
      <c r="D163" s="13" t="n">
        <v>46203</v>
      </c>
      <c r="E163" s="6" t="n">
        <f aca="false">MONTH(D163)</f>
        <v>6</v>
      </c>
      <c r="F163" s="6" t="s">
        <v>769</v>
      </c>
      <c r="G163" s="6" t="s">
        <v>770</v>
      </c>
      <c r="H163" s="6" t="s">
        <v>96</v>
      </c>
      <c r="I163" s="6" t="s">
        <v>37</v>
      </c>
      <c r="J163" s="6" t="s">
        <v>115</v>
      </c>
      <c r="K163" s="6" t="s">
        <v>267</v>
      </c>
      <c r="L163" s="13"/>
      <c r="M163" s="6" t="n">
        <v>0</v>
      </c>
      <c r="N163" s="13"/>
      <c r="O163" s="6" t="n">
        <v>0</v>
      </c>
      <c r="P163" s="6"/>
      <c r="Q163" s="8"/>
      <c r="R163" s="6"/>
      <c r="S163" s="8" t="str">
        <f aca="false">IF(Q163="","",IF(R163="EUR",ROUND(Q163*Параметры!$B$3,0),Q163))</f>
        <v/>
      </c>
      <c r="T163" s="6" t="s">
        <v>80</v>
      </c>
      <c r="U163" s="6" t="s">
        <v>117</v>
      </c>
      <c r="V163" s="13"/>
      <c r="W163" s="6" t="n">
        <f aca="false">IF(T163="Оплачено",1,0)</f>
        <v>0</v>
      </c>
      <c r="X163" s="6" t="n">
        <f aca="false">IF(OR(T163="Не дозвонились",Y163=0),0,1)</f>
        <v>0</v>
      </c>
      <c r="Y163" s="6" t="n">
        <v>1</v>
      </c>
      <c r="Z163" s="6"/>
      <c r="AA163" s="6"/>
      <c r="AB163" s="6"/>
    </row>
    <row r="164" customFormat="false" ht="15" hidden="false" customHeight="false" outlineLevel="0" collapsed="false">
      <c r="A164" s="6" t="n">
        <v>163</v>
      </c>
      <c r="B164" s="6" t="s">
        <v>30</v>
      </c>
      <c r="C164" s="6" t="s">
        <v>771</v>
      </c>
      <c r="D164" s="13" t="n">
        <v>46203</v>
      </c>
      <c r="E164" s="6" t="n">
        <f aca="false">MONTH(D164)</f>
        <v>6</v>
      </c>
      <c r="F164" s="6" t="s">
        <v>772</v>
      </c>
      <c r="G164" s="6" t="s">
        <v>773</v>
      </c>
      <c r="H164" s="6" t="s">
        <v>147</v>
      </c>
      <c r="I164" s="6" t="s">
        <v>38</v>
      </c>
      <c r="J164" s="6" t="s">
        <v>219</v>
      </c>
      <c r="K164" s="6" t="s">
        <v>215</v>
      </c>
      <c r="L164" s="13" t="n">
        <v>46204</v>
      </c>
      <c r="M164" s="6" t="n">
        <v>1</v>
      </c>
      <c r="N164" s="13" t="n">
        <v>46209</v>
      </c>
      <c r="O164" s="6" t="n">
        <v>1</v>
      </c>
      <c r="P164" s="6" t="s">
        <v>774</v>
      </c>
      <c r="Q164" s="8" t="n">
        <v>20400</v>
      </c>
      <c r="R164" s="6" t="s">
        <v>89</v>
      </c>
      <c r="S164" s="8" t="n">
        <f aca="false">IF(Q164="","",IF(R164="EUR",ROUND(Q164*Параметры!$B$3,0),Q164))</f>
        <v>20400</v>
      </c>
      <c r="T164" s="6" t="s">
        <v>90</v>
      </c>
      <c r="U164" s="6" t="s">
        <v>91</v>
      </c>
      <c r="V164" s="13"/>
      <c r="W164" s="6" t="n">
        <f aca="false">IF(T164="Оплачено",1,0)</f>
        <v>0</v>
      </c>
      <c r="X164" s="6" t="n">
        <f aca="false">IF(OR(T164="Не дозвонились",Y164=0),0,1)</f>
        <v>1</v>
      </c>
      <c r="Y164" s="6" t="n">
        <v>1</v>
      </c>
      <c r="Z164" s="6"/>
      <c r="AA164" s="6" t="s">
        <v>775</v>
      </c>
      <c r="AB164" s="6" t="s">
        <v>92</v>
      </c>
    </row>
    <row r="165" customFormat="false" ht="15" hidden="false" customHeight="false" outlineLevel="0" collapsed="false">
      <c r="A165" s="6" t="n">
        <v>164</v>
      </c>
      <c r="B165" s="6" t="s">
        <v>30</v>
      </c>
      <c r="C165" s="6" t="s">
        <v>776</v>
      </c>
      <c r="D165" s="13" t="n">
        <v>46203</v>
      </c>
      <c r="E165" s="6" t="n">
        <f aca="false">MONTH(D165)</f>
        <v>6</v>
      </c>
      <c r="F165" s="6" t="s">
        <v>777</v>
      </c>
      <c r="G165" s="6" t="s">
        <v>778</v>
      </c>
      <c r="H165" s="6" t="s">
        <v>96</v>
      </c>
      <c r="I165" s="6" t="s">
        <v>35</v>
      </c>
      <c r="J165" s="6" t="s">
        <v>276</v>
      </c>
      <c r="K165" s="6" t="s">
        <v>224</v>
      </c>
      <c r="L165" s="13" t="n">
        <v>46209</v>
      </c>
      <c r="M165" s="6" t="n">
        <v>1</v>
      </c>
      <c r="N165" s="13" t="n">
        <v>46217</v>
      </c>
      <c r="O165" s="6" t="n">
        <v>1</v>
      </c>
      <c r="P165" s="6" t="s">
        <v>779</v>
      </c>
      <c r="Q165" s="8" t="n">
        <v>31400</v>
      </c>
      <c r="R165" s="6" t="s">
        <v>89</v>
      </c>
      <c r="S165" s="8" t="n">
        <f aca="false">IF(Q165="","",IF(R165="EUR",ROUND(Q165*Параметры!$B$3,0),Q165))</f>
        <v>31400</v>
      </c>
      <c r="T165" s="6" t="s">
        <v>15</v>
      </c>
      <c r="U165" s="6" t="s">
        <v>674</v>
      </c>
      <c r="V165" s="13" t="n">
        <v>46224</v>
      </c>
      <c r="W165" s="6" t="n">
        <f aca="false">IF(T165="Оплачено",1,0)</f>
        <v>1</v>
      </c>
      <c r="X165" s="6" t="n">
        <f aca="false">IF(OR(T165="Не дозвонились",Y165=0),0,1)</f>
        <v>1</v>
      </c>
      <c r="Y165" s="6" t="n">
        <v>1</v>
      </c>
      <c r="Z165" s="6"/>
      <c r="AA165" s="6" t="s">
        <v>675</v>
      </c>
      <c r="AB165" s="6" t="s">
        <v>780</v>
      </c>
    </row>
    <row r="166" customFormat="false" ht="15" hidden="false" customHeight="false" outlineLevel="0" collapsed="false">
      <c r="A166" s="6" t="n">
        <v>165</v>
      </c>
      <c r="B166" s="6" t="s">
        <v>28</v>
      </c>
      <c r="C166" s="6" t="s">
        <v>781</v>
      </c>
      <c r="D166" s="13" t="n">
        <v>46204</v>
      </c>
      <c r="E166" s="6" t="n">
        <f aca="false">MONTH(D166)</f>
        <v>7</v>
      </c>
      <c r="F166" s="6" t="s">
        <v>782</v>
      </c>
      <c r="G166" s="6" t="s">
        <v>783</v>
      </c>
      <c r="H166" s="6" t="s">
        <v>103</v>
      </c>
      <c r="I166" s="6" t="s">
        <v>36</v>
      </c>
      <c r="J166" s="6" t="s">
        <v>253</v>
      </c>
      <c r="K166" s="6" t="s">
        <v>162</v>
      </c>
      <c r="L166" s="13" t="n">
        <v>46208</v>
      </c>
      <c r="M166" s="6" t="n">
        <v>1</v>
      </c>
      <c r="N166" s="13"/>
      <c r="O166" s="6" t="n">
        <v>0</v>
      </c>
      <c r="P166" s="6"/>
      <c r="Q166" s="8"/>
      <c r="R166" s="6"/>
      <c r="S166" s="8" t="str">
        <f aca="false">IF(Q166="","",IF(R166="EUR",ROUND(Q166*Параметры!$B$3,0),Q166))</f>
        <v/>
      </c>
      <c r="T166" s="6" t="s">
        <v>71</v>
      </c>
      <c r="U166" s="6" t="s">
        <v>71</v>
      </c>
      <c r="V166" s="13"/>
      <c r="W166" s="6" t="n">
        <f aca="false">IF(T166="Оплачено",1,0)</f>
        <v>0</v>
      </c>
      <c r="X166" s="6" t="n">
        <f aca="false">IF(OR(T166="Не дозвонились",Y166=0),0,1)</f>
        <v>1</v>
      </c>
      <c r="Y166" s="6" t="n">
        <v>1</v>
      </c>
      <c r="Z166" s="6"/>
      <c r="AA166" s="6"/>
      <c r="AB166" s="6"/>
    </row>
    <row r="167" customFormat="false" ht="15" hidden="false" customHeight="false" outlineLevel="0" collapsed="false">
      <c r="A167" s="6" t="n">
        <v>166</v>
      </c>
      <c r="B167" s="6" t="s">
        <v>28</v>
      </c>
      <c r="C167" s="6" t="s">
        <v>784</v>
      </c>
      <c r="D167" s="13" t="n">
        <v>46204</v>
      </c>
      <c r="E167" s="6" t="n">
        <f aca="false">MONTH(D167)</f>
        <v>7</v>
      </c>
      <c r="F167" s="6" t="s">
        <v>785</v>
      </c>
      <c r="G167" s="6" t="s">
        <v>786</v>
      </c>
      <c r="H167" s="6" t="s">
        <v>161</v>
      </c>
      <c r="I167" s="6" t="s">
        <v>34</v>
      </c>
      <c r="J167" s="6" t="s">
        <v>34</v>
      </c>
      <c r="K167" s="6" t="s">
        <v>202</v>
      </c>
      <c r="L167" s="13"/>
      <c r="M167" s="6" t="n">
        <v>0</v>
      </c>
      <c r="N167" s="13"/>
      <c r="O167" s="6" t="n">
        <v>0</v>
      </c>
      <c r="P167" s="6"/>
      <c r="Q167" s="8"/>
      <c r="R167" s="6"/>
      <c r="S167" s="8" t="str">
        <f aca="false">IF(Q167="","",IF(R167="EUR",ROUND(Q167*Параметры!$B$3,0),Q167))</f>
        <v/>
      </c>
      <c r="T167" s="6" t="s">
        <v>80</v>
      </c>
      <c r="U167" s="6" t="s">
        <v>163</v>
      </c>
      <c r="V167" s="13"/>
      <c r="W167" s="6" t="n">
        <f aca="false">IF(T167="Оплачено",1,0)</f>
        <v>0</v>
      </c>
      <c r="X167" s="6" t="n">
        <f aca="false">IF(OR(T167="Не дозвонились",Y167=0),0,1)</f>
        <v>0</v>
      </c>
      <c r="Y167" s="6" t="n">
        <v>1</v>
      </c>
      <c r="Z167" s="6"/>
      <c r="AA167" s="6"/>
      <c r="AB167" s="6"/>
    </row>
    <row r="168" customFormat="false" ht="15" hidden="false" customHeight="false" outlineLevel="0" collapsed="false">
      <c r="A168" s="6" t="n">
        <v>167</v>
      </c>
      <c r="B168" s="6" t="s">
        <v>29</v>
      </c>
      <c r="C168" s="6" t="s">
        <v>787</v>
      </c>
      <c r="D168" s="13" t="n">
        <v>46204</v>
      </c>
      <c r="E168" s="6" t="n">
        <f aca="false">MONTH(D168)</f>
        <v>7</v>
      </c>
      <c r="F168" s="6" t="s">
        <v>788</v>
      </c>
      <c r="G168" s="6" t="s">
        <v>789</v>
      </c>
      <c r="H168" s="6" t="s">
        <v>294</v>
      </c>
      <c r="I168" s="6" t="s">
        <v>38</v>
      </c>
      <c r="J168" s="6" t="s">
        <v>38</v>
      </c>
      <c r="K168" s="6" t="s">
        <v>239</v>
      </c>
      <c r="L168" s="13" t="n">
        <v>46210</v>
      </c>
      <c r="M168" s="6" t="n">
        <v>1</v>
      </c>
      <c r="N168" s="13" t="n">
        <v>46211</v>
      </c>
      <c r="O168" s="6" t="n">
        <v>1</v>
      </c>
      <c r="P168" s="6" t="s">
        <v>790</v>
      </c>
      <c r="Q168" s="8" t="n">
        <v>18400</v>
      </c>
      <c r="R168" s="6" t="s">
        <v>89</v>
      </c>
      <c r="S168" s="8" t="n">
        <f aca="false">IF(Q168="","",IF(R168="EUR",ROUND(Q168*Параметры!$B$3,0),Q168))</f>
        <v>18400</v>
      </c>
      <c r="T168" s="6" t="s">
        <v>90</v>
      </c>
      <c r="U168" s="6" t="s">
        <v>123</v>
      </c>
      <c r="V168" s="13"/>
      <c r="W168" s="6" t="n">
        <f aca="false">IF(T168="Оплачено",1,0)</f>
        <v>0</v>
      </c>
      <c r="X168" s="6" t="n">
        <f aca="false">IF(OR(T168="Не дозвонились",Y168=0),0,1)</f>
        <v>1</v>
      </c>
      <c r="Y168" s="6" t="n">
        <v>1</v>
      </c>
      <c r="Z168" s="6"/>
      <c r="AA168" s="6"/>
      <c r="AB168" s="6"/>
    </row>
    <row r="169" customFormat="false" ht="15" hidden="false" customHeight="false" outlineLevel="0" collapsed="false">
      <c r="A169" s="6" t="n">
        <v>168</v>
      </c>
      <c r="B169" s="6" t="s">
        <v>29</v>
      </c>
      <c r="C169" s="6" t="s">
        <v>791</v>
      </c>
      <c r="D169" s="13" t="n">
        <v>46204</v>
      </c>
      <c r="E169" s="6" t="n">
        <f aca="false">MONTH(D169)</f>
        <v>7</v>
      </c>
      <c r="F169" s="6" t="s">
        <v>792</v>
      </c>
      <c r="G169" s="6" t="s">
        <v>793</v>
      </c>
      <c r="H169" s="6" t="s">
        <v>121</v>
      </c>
      <c r="I169" s="6" t="s">
        <v>37</v>
      </c>
      <c r="J169" s="6" t="s">
        <v>69</v>
      </c>
      <c r="K169" s="6" t="s">
        <v>239</v>
      </c>
      <c r="L169" s="13" t="n">
        <v>46206</v>
      </c>
      <c r="M169" s="6" t="n">
        <v>1</v>
      </c>
      <c r="N169" s="13" t="n">
        <v>46207</v>
      </c>
      <c r="O169" s="6" t="n">
        <v>1</v>
      </c>
      <c r="P169" s="6" t="s">
        <v>794</v>
      </c>
      <c r="Q169" s="8" t="n">
        <v>18600</v>
      </c>
      <c r="R169" s="6" t="s">
        <v>89</v>
      </c>
      <c r="S169" s="8" t="n">
        <f aca="false">IF(Q169="","",IF(R169="EUR",ROUND(Q169*Параметры!$B$3,0),Q169))</f>
        <v>18600</v>
      </c>
      <c r="T169" s="6" t="s">
        <v>71</v>
      </c>
      <c r="U169" s="6" t="s">
        <v>72</v>
      </c>
      <c r="V169" s="13"/>
      <c r="W169" s="6" t="n">
        <f aca="false">IF(T169="Оплачено",1,0)</f>
        <v>0</v>
      </c>
      <c r="X169" s="6" t="n">
        <f aca="false">IF(OR(T169="Не дозвонились",Y169=0),0,1)</f>
        <v>1</v>
      </c>
      <c r="Y169" s="6" t="n">
        <v>1</v>
      </c>
      <c r="Z169" s="6"/>
      <c r="AA169" s="6"/>
      <c r="AB169" s="6" t="s">
        <v>258</v>
      </c>
    </row>
    <row r="170" customFormat="false" ht="15" hidden="false" customHeight="false" outlineLevel="0" collapsed="false">
      <c r="A170" s="6" t="n">
        <v>169</v>
      </c>
      <c r="B170" s="6" t="s">
        <v>29</v>
      </c>
      <c r="C170" s="6" t="s">
        <v>795</v>
      </c>
      <c r="D170" s="13" t="n">
        <v>46204</v>
      </c>
      <c r="E170" s="6" t="n">
        <f aca="false">MONTH(D170)</f>
        <v>7</v>
      </c>
      <c r="F170" s="6" t="s">
        <v>796</v>
      </c>
      <c r="G170" s="6" t="s">
        <v>797</v>
      </c>
      <c r="H170" s="6" t="s">
        <v>121</v>
      </c>
      <c r="I170" s="6" t="s">
        <v>35</v>
      </c>
      <c r="J170" s="6" t="s">
        <v>35</v>
      </c>
      <c r="K170" s="6" t="s">
        <v>458</v>
      </c>
      <c r="L170" s="13" t="n">
        <v>46205</v>
      </c>
      <c r="M170" s="6" t="n">
        <v>1</v>
      </c>
      <c r="N170" s="13" t="n">
        <v>46207</v>
      </c>
      <c r="O170" s="6" t="n">
        <v>1</v>
      </c>
      <c r="P170" s="6" t="s">
        <v>798</v>
      </c>
      <c r="Q170" s="8" t="n">
        <v>79400</v>
      </c>
      <c r="R170" s="6" t="s">
        <v>89</v>
      </c>
      <c r="S170" s="8" t="n">
        <f aca="false">IF(Q170="","",IF(R170="EUR",ROUND(Q170*Параметры!$B$3,0),Q170))</f>
        <v>79400</v>
      </c>
      <c r="T170" s="6" t="s">
        <v>90</v>
      </c>
      <c r="U170" s="6" t="s">
        <v>123</v>
      </c>
      <c r="V170" s="13"/>
      <c r="W170" s="6" t="n">
        <f aca="false">IF(T170="Оплачено",1,0)</f>
        <v>0</v>
      </c>
      <c r="X170" s="6" t="n">
        <f aca="false">IF(OR(T170="Не дозвонились",Y170=0),0,1)</f>
        <v>1</v>
      </c>
      <c r="Y170" s="6" t="n">
        <v>1</v>
      </c>
      <c r="Z170" s="6"/>
      <c r="AA170" s="6"/>
      <c r="AB170" s="6" t="s">
        <v>780</v>
      </c>
    </row>
    <row r="171" customFormat="false" ht="15" hidden="false" customHeight="false" outlineLevel="0" collapsed="false">
      <c r="A171" s="6" t="n">
        <v>170</v>
      </c>
      <c r="B171" s="6" t="s">
        <v>30</v>
      </c>
      <c r="C171" s="6" t="s">
        <v>799</v>
      </c>
      <c r="D171" s="13" t="n">
        <v>46204</v>
      </c>
      <c r="E171" s="6" t="n">
        <f aca="false">MONTH(D171)</f>
        <v>7</v>
      </c>
      <c r="F171" s="6" t="s">
        <v>800</v>
      </c>
      <c r="G171" s="6" t="s">
        <v>801</v>
      </c>
      <c r="H171" s="6" t="s">
        <v>161</v>
      </c>
      <c r="I171" s="6" t="s">
        <v>34</v>
      </c>
      <c r="J171" s="6" t="s">
        <v>273</v>
      </c>
      <c r="K171" s="6" t="s">
        <v>215</v>
      </c>
      <c r="L171" s="13"/>
      <c r="M171" s="6" t="n">
        <v>0</v>
      </c>
      <c r="N171" s="13"/>
      <c r="O171" s="6" t="n">
        <v>0</v>
      </c>
      <c r="P171" s="6"/>
      <c r="Q171" s="8"/>
      <c r="R171" s="6"/>
      <c r="S171" s="8" t="str">
        <f aca="false">IF(Q171="","",IF(R171="EUR",ROUND(Q171*Параметры!$B$3,0),Q171))</f>
        <v/>
      </c>
      <c r="T171" s="6" t="s">
        <v>80</v>
      </c>
      <c r="U171" s="6" t="s">
        <v>81</v>
      </c>
      <c r="V171" s="13"/>
      <c r="W171" s="6" t="n">
        <f aca="false">IF(T171="Оплачено",1,0)</f>
        <v>0</v>
      </c>
      <c r="X171" s="6" t="n">
        <f aca="false">IF(OR(T171="Не дозвонились",Y171=0),0,1)</f>
        <v>0</v>
      </c>
      <c r="Y171" s="6" t="n">
        <v>1</v>
      </c>
      <c r="Z171" s="6"/>
      <c r="AA171" s="6"/>
      <c r="AB171" s="6"/>
    </row>
    <row r="172" customFormat="false" ht="15" hidden="false" customHeight="false" outlineLevel="0" collapsed="false">
      <c r="A172" s="6" t="n">
        <v>171</v>
      </c>
      <c r="B172" s="6" t="s">
        <v>30</v>
      </c>
      <c r="C172" s="6" t="s">
        <v>802</v>
      </c>
      <c r="D172" s="13" t="n">
        <v>46204</v>
      </c>
      <c r="E172" s="6" t="n">
        <f aca="false">MONTH(D172)</f>
        <v>7</v>
      </c>
      <c r="F172" s="6" t="s">
        <v>803</v>
      </c>
      <c r="G172" s="6" t="s">
        <v>804</v>
      </c>
      <c r="H172" s="6" t="s">
        <v>603</v>
      </c>
      <c r="I172" s="6" t="s">
        <v>38</v>
      </c>
      <c r="J172" s="6" t="s">
        <v>78</v>
      </c>
      <c r="K172" s="6" t="s">
        <v>666</v>
      </c>
      <c r="L172" s="13" t="n">
        <v>46209</v>
      </c>
      <c r="M172" s="6" t="n">
        <v>1</v>
      </c>
      <c r="N172" s="13" t="n">
        <v>46214</v>
      </c>
      <c r="O172" s="6" t="n">
        <v>1</v>
      </c>
      <c r="P172" s="6" t="s">
        <v>654</v>
      </c>
      <c r="Q172" s="8" t="n">
        <v>14300</v>
      </c>
      <c r="R172" s="6" t="s">
        <v>89</v>
      </c>
      <c r="S172" s="8" t="n">
        <f aca="false">IF(Q172="","",IF(R172="EUR",ROUND(Q172*Параметры!$B$3,0),Q172))</f>
        <v>14300</v>
      </c>
      <c r="T172" s="6" t="s">
        <v>90</v>
      </c>
      <c r="U172" s="6" t="s">
        <v>434</v>
      </c>
      <c r="V172" s="13"/>
      <c r="W172" s="6" t="n">
        <f aca="false">IF(T172="Оплачено",1,0)</f>
        <v>0</v>
      </c>
      <c r="X172" s="6" t="n">
        <f aca="false">IF(OR(T172="Не дозвонились",Y172=0),0,1)</f>
        <v>1</v>
      </c>
      <c r="Y172" s="6" t="n">
        <v>1</v>
      </c>
      <c r="Z172" s="6"/>
      <c r="AA172" s="6"/>
      <c r="AB172" s="6"/>
    </row>
    <row r="173" customFormat="false" ht="15" hidden="false" customHeight="false" outlineLevel="0" collapsed="false">
      <c r="A173" s="6" t="n">
        <v>172</v>
      </c>
      <c r="B173" s="6" t="s">
        <v>28</v>
      </c>
      <c r="C173" s="6" t="s">
        <v>805</v>
      </c>
      <c r="D173" s="13" t="n">
        <v>46205</v>
      </c>
      <c r="E173" s="6" t="n">
        <f aca="false">MONTH(D173)</f>
        <v>7</v>
      </c>
      <c r="F173" s="6" t="s">
        <v>806</v>
      </c>
      <c r="G173" s="6" t="s">
        <v>807</v>
      </c>
      <c r="H173" s="6" t="s">
        <v>672</v>
      </c>
      <c r="I173" s="6" t="s">
        <v>36</v>
      </c>
      <c r="J173" s="6" t="s">
        <v>36</v>
      </c>
      <c r="K173" s="6" t="s">
        <v>808</v>
      </c>
      <c r="L173" s="13" t="n">
        <v>46211</v>
      </c>
      <c r="M173" s="6" t="n">
        <v>1</v>
      </c>
      <c r="N173" s="13" t="n">
        <v>46212</v>
      </c>
      <c r="O173" s="6" t="n">
        <v>1</v>
      </c>
      <c r="P173" s="6" t="s">
        <v>809</v>
      </c>
      <c r="Q173" s="8" t="n">
        <v>105000</v>
      </c>
      <c r="R173" s="6" t="s">
        <v>89</v>
      </c>
      <c r="S173" s="8" t="n">
        <f aca="false">IF(Q173="","",IF(R173="EUR",ROUND(Q173*Параметры!$B$3,0),Q173))</f>
        <v>105000</v>
      </c>
      <c r="T173" s="6" t="s">
        <v>15</v>
      </c>
      <c r="U173" s="6" t="s">
        <v>15</v>
      </c>
      <c r="V173" s="13" t="n">
        <v>46225</v>
      </c>
      <c r="W173" s="6" t="n">
        <f aca="false">IF(T173="Оплачено",1,0)</f>
        <v>1</v>
      </c>
      <c r="X173" s="6" t="n">
        <f aca="false">IF(OR(T173="Не дозвонились",Y173=0),0,1)</f>
        <v>1</v>
      </c>
      <c r="Y173" s="6" t="n">
        <v>1</v>
      </c>
      <c r="Z173" s="6"/>
      <c r="AA173" s="6"/>
      <c r="AB173" s="6"/>
    </row>
    <row r="174" customFormat="false" ht="15" hidden="false" customHeight="false" outlineLevel="0" collapsed="false">
      <c r="A174" s="6" t="n">
        <v>173</v>
      </c>
      <c r="B174" s="6" t="s">
        <v>28</v>
      </c>
      <c r="C174" s="6" t="s">
        <v>810</v>
      </c>
      <c r="D174" s="13" t="n">
        <v>46205</v>
      </c>
      <c r="E174" s="6" t="n">
        <f aca="false">MONTH(D174)</f>
        <v>7</v>
      </c>
      <c r="F174" s="6" t="s">
        <v>811</v>
      </c>
      <c r="G174" s="6" t="s">
        <v>812</v>
      </c>
      <c r="H174" s="6" t="s">
        <v>184</v>
      </c>
      <c r="I174" s="6" t="s">
        <v>34</v>
      </c>
      <c r="J174" s="6" t="s">
        <v>34</v>
      </c>
      <c r="K174" s="6" t="s">
        <v>110</v>
      </c>
      <c r="L174" s="13"/>
      <c r="M174" s="6" t="n">
        <v>0</v>
      </c>
      <c r="N174" s="13"/>
      <c r="O174" s="6" t="n">
        <v>0</v>
      </c>
      <c r="P174" s="6"/>
      <c r="Q174" s="8"/>
      <c r="R174" s="6"/>
      <c r="S174" s="8" t="str">
        <f aca="false">IF(Q174="","",IF(R174="EUR",ROUND(Q174*Параметры!$B$3,0),Q174))</f>
        <v/>
      </c>
      <c r="T174" s="6" t="s">
        <v>80</v>
      </c>
      <c r="U174" s="6" t="s">
        <v>163</v>
      </c>
      <c r="V174" s="13"/>
      <c r="W174" s="6" t="n">
        <f aca="false">IF(T174="Оплачено",1,0)</f>
        <v>0</v>
      </c>
      <c r="X174" s="6" t="n">
        <f aca="false">IF(OR(T174="Не дозвонились",Y174=0),0,1)</f>
        <v>0</v>
      </c>
      <c r="Y174" s="6" t="n">
        <v>1</v>
      </c>
      <c r="Z174" s="6"/>
      <c r="AA174" s="6"/>
      <c r="AB174" s="6"/>
    </row>
    <row r="175" customFormat="false" ht="15" hidden="false" customHeight="false" outlineLevel="0" collapsed="false">
      <c r="A175" s="6" t="n">
        <v>174</v>
      </c>
      <c r="B175" s="6" t="s">
        <v>29</v>
      </c>
      <c r="C175" s="6" t="s">
        <v>813</v>
      </c>
      <c r="D175" s="13" t="n">
        <v>46205</v>
      </c>
      <c r="E175" s="6" t="n">
        <f aca="false">MONTH(D175)</f>
        <v>7</v>
      </c>
      <c r="F175" s="6" t="s">
        <v>814</v>
      </c>
      <c r="G175" s="6" t="s">
        <v>815</v>
      </c>
      <c r="H175" s="6" t="s">
        <v>114</v>
      </c>
      <c r="I175" s="6" t="s">
        <v>35</v>
      </c>
      <c r="J175" s="6" t="s">
        <v>142</v>
      </c>
      <c r="K175" s="6" t="s">
        <v>143</v>
      </c>
      <c r="L175" s="13" t="n">
        <v>46206</v>
      </c>
      <c r="M175" s="6" t="n">
        <v>1</v>
      </c>
      <c r="N175" s="13" t="n">
        <v>46209</v>
      </c>
      <c r="O175" s="6" t="n">
        <v>1</v>
      </c>
      <c r="P175" s="6" t="s">
        <v>816</v>
      </c>
      <c r="Q175" s="8" t="n">
        <v>22600</v>
      </c>
      <c r="R175" s="6" t="s">
        <v>89</v>
      </c>
      <c r="S175" s="8" t="n">
        <f aca="false">IF(Q175="","",IF(R175="EUR",ROUND(Q175*Параметры!$B$3,0),Q175))</f>
        <v>22600</v>
      </c>
      <c r="T175" s="6" t="s">
        <v>90</v>
      </c>
      <c r="U175" s="6" t="s">
        <v>123</v>
      </c>
      <c r="V175" s="13"/>
      <c r="W175" s="6" t="n">
        <f aca="false">IF(T175="Оплачено",1,0)</f>
        <v>0</v>
      </c>
      <c r="X175" s="6" t="n">
        <f aca="false">IF(OR(T175="Не дозвонились",Y175=0),0,1)</f>
        <v>1</v>
      </c>
      <c r="Y175" s="6" t="n">
        <v>1</v>
      </c>
      <c r="Z175" s="6"/>
      <c r="AA175" s="6"/>
      <c r="AB175" s="6"/>
    </row>
    <row r="176" customFormat="false" ht="15" hidden="false" customHeight="false" outlineLevel="0" collapsed="false">
      <c r="A176" s="6" t="n">
        <v>175</v>
      </c>
      <c r="B176" s="6" t="s">
        <v>29</v>
      </c>
      <c r="C176" s="6" t="s">
        <v>817</v>
      </c>
      <c r="D176" s="13" t="n">
        <v>46205</v>
      </c>
      <c r="E176" s="6" t="n">
        <f aca="false">MONTH(D176)</f>
        <v>7</v>
      </c>
      <c r="F176" s="6" t="s">
        <v>818</v>
      </c>
      <c r="G176" s="6" t="s">
        <v>819</v>
      </c>
      <c r="H176" s="6" t="s">
        <v>294</v>
      </c>
      <c r="I176" s="6" t="s">
        <v>34</v>
      </c>
      <c r="J176" s="6" t="s">
        <v>383</v>
      </c>
      <c r="K176" s="6" t="s">
        <v>168</v>
      </c>
      <c r="L176" s="13" t="n">
        <v>46210</v>
      </c>
      <c r="M176" s="6" t="n">
        <v>1</v>
      </c>
      <c r="N176" s="13" t="n">
        <v>46212</v>
      </c>
      <c r="O176" s="6" t="n">
        <v>1</v>
      </c>
      <c r="P176" s="6" t="s">
        <v>820</v>
      </c>
      <c r="Q176" s="8" t="n">
        <v>32700</v>
      </c>
      <c r="R176" s="6" t="s">
        <v>89</v>
      </c>
      <c r="S176" s="8" t="n">
        <f aca="false">IF(Q176="","",IF(R176="EUR",ROUND(Q176*Параметры!$B$3,0),Q176))</f>
        <v>32700</v>
      </c>
      <c r="T176" s="6" t="s">
        <v>90</v>
      </c>
      <c r="U176" s="6" t="s">
        <v>123</v>
      </c>
      <c r="V176" s="13"/>
      <c r="W176" s="6" t="n">
        <f aca="false">IF(T176="Оплачено",1,0)</f>
        <v>0</v>
      </c>
      <c r="X176" s="6" t="n">
        <f aca="false">IF(OR(T176="Не дозвонились",Y176=0),0,1)</f>
        <v>1</v>
      </c>
      <c r="Y176" s="6" t="n">
        <v>1</v>
      </c>
      <c r="Z176" s="6"/>
      <c r="AA176" s="6"/>
      <c r="AB176" s="6"/>
    </row>
    <row r="177" customFormat="false" ht="15" hidden="false" customHeight="false" outlineLevel="0" collapsed="false">
      <c r="A177" s="6" t="n">
        <v>176</v>
      </c>
      <c r="B177" s="6" t="s">
        <v>30</v>
      </c>
      <c r="C177" s="6" t="s">
        <v>821</v>
      </c>
      <c r="D177" s="13" t="n">
        <v>46205</v>
      </c>
      <c r="E177" s="6" t="n">
        <f aca="false">MONTH(D177)</f>
        <v>7</v>
      </c>
      <c r="F177" s="6" t="s">
        <v>822</v>
      </c>
      <c r="G177" s="6" t="s">
        <v>823</v>
      </c>
      <c r="H177" s="6" t="s">
        <v>557</v>
      </c>
      <c r="I177" s="6" t="s">
        <v>34</v>
      </c>
      <c r="J177" s="6" t="s">
        <v>214</v>
      </c>
      <c r="K177" s="6" t="s">
        <v>87</v>
      </c>
      <c r="L177" s="13"/>
      <c r="M177" s="6" t="n">
        <v>0</v>
      </c>
      <c r="N177" s="13"/>
      <c r="O177" s="6" t="n">
        <v>0</v>
      </c>
      <c r="P177" s="6"/>
      <c r="Q177" s="8"/>
      <c r="R177" s="6"/>
      <c r="S177" s="8" t="str">
        <f aca="false">IF(Q177="","",IF(R177="EUR",ROUND(Q177*Параметры!$B$3,0),Q177))</f>
        <v/>
      </c>
      <c r="T177" s="6" t="s">
        <v>71</v>
      </c>
      <c r="U177" s="6" t="s">
        <v>72</v>
      </c>
      <c r="V177" s="13"/>
      <c r="W177" s="6" t="n">
        <f aca="false">IF(T177="Оплачено",1,0)</f>
        <v>0</v>
      </c>
      <c r="X177" s="6" t="n">
        <f aca="false">IF(OR(T177="Не дозвонились",Y177=0),0,1)</f>
        <v>1</v>
      </c>
      <c r="Y177" s="6" t="n">
        <v>1</v>
      </c>
      <c r="Z177" s="6"/>
      <c r="AA177" s="6"/>
      <c r="AB177" s="6" t="s">
        <v>824</v>
      </c>
    </row>
    <row r="178" customFormat="false" ht="15" hidden="false" customHeight="false" outlineLevel="0" collapsed="false">
      <c r="A178" s="6" t="n">
        <v>177</v>
      </c>
      <c r="B178" s="6" t="s">
        <v>30</v>
      </c>
      <c r="C178" s="6" t="s">
        <v>825</v>
      </c>
      <c r="D178" s="13" t="n">
        <v>46205</v>
      </c>
      <c r="E178" s="6" t="n">
        <f aca="false">MONTH(D178)</f>
        <v>7</v>
      </c>
      <c r="F178" s="6" t="s">
        <v>826</v>
      </c>
      <c r="G178" s="6" t="s">
        <v>827</v>
      </c>
      <c r="H178" s="6" t="s">
        <v>77</v>
      </c>
      <c r="I178" s="6" t="s">
        <v>34</v>
      </c>
      <c r="J178" s="6" t="s">
        <v>132</v>
      </c>
      <c r="K178" s="6" t="s">
        <v>224</v>
      </c>
      <c r="L178" s="13"/>
      <c r="M178" s="6" t="n">
        <v>0</v>
      </c>
      <c r="N178" s="13"/>
      <c r="O178" s="6" t="n">
        <v>0</v>
      </c>
      <c r="P178" s="6"/>
      <c r="Q178" s="8"/>
      <c r="R178" s="6"/>
      <c r="S178" s="8" t="str">
        <f aca="false">IF(Q178="","",IF(R178="EUR",ROUND(Q178*Параметры!$B$3,0),Q178))</f>
        <v/>
      </c>
      <c r="T178" s="6" t="s">
        <v>150</v>
      </c>
      <c r="U178" s="6" t="s">
        <v>151</v>
      </c>
      <c r="V178" s="13"/>
      <c r="W178" s="6" t="n">
        <f aca="false">IF(T178="Оплачено",1,0)</f>
        <v>0</v>
      </c>
      <c r="X178" s="6" t="n">
        <f aca="false">IF(OR(T178="Не дозвонились",Y178=0),0,1)</f>
        <v>1</v>
      </c>
      <c r="Y178" s="6" t="n">
        <v>1</v>
      </c>
      <c r="Z178" s="6"/>
      <c r="AA178" s="6"/>
      <c r="AB178" s="6" t="s">
        <v>204</v>
      </c>
    </row>
    <row r="179" customFormat="false" ht="15" hidden="false" customHeight="false" outlineLevel="0" collapsed="false">
      <c r="A179" s="6" t="n">
        <v>178</v>
      </c>
      <c r="B179" s="6" t="s">
        <v>28</v>
      </c>
      <c r="C179" s="6" t="s">
        <v>828</v>
      </c>
      <c r="D179" s="13" t="n">
        <v>46206</v>
      </c>
      <c r="E179" s="6" t="n">
        <f aca="false">MONTH(D179)</f>
        <v>7</v>
      </c>
      <c r="F179" s="6" t="s">
        <v>829</v>
      </c>
      <c r="G179" s="6" t="s">
        <v>830</v>
      </c>
      <c r="H179" s="6" t="s">
        <v>161</v>
      </c>
      <c r="I179" s="6" t="s">
        <v>34</v>
      </c>
      <c r="J179" s="6" t="s">
        <v>97</v>
      </c>
      <c r="K179" s="6" t="s">
        <v>156</v>
      </c>
      <c r="L179" s="13"/>
      <c r="M179" s="6" t="n">
        <v>0</v>
      </c>
      <c r="N179" s="13"/>
      <c r="O179" s="6" t="n">
        <v>0</v>
      </c>
      <c r="P179" s="6"/>
      <c r="Q179" s="8"/>
      <c r="R179" s="6"/>
      <c r="S179" s="8" t="str">
        <f aca="false">IF(Q179="","",IF(R179="EUR",ROUND(Q179*Параметры!$B$3,0),Q179))</f>
        <v/>
      </c>
      <c r="T179" s="6" t="s">
        <v>71</v>
      </c>
      <c r="U179" s="6" t="s">
        <v>71</v>
      </c>
      <c r="V179" s="13"/>
      <c r="W179" s="6" t="n">
        <f aca="false">IF(T179="Оплачено",1,0)</f>
        <v>0</v>
      </c>
      <c r="X179" s="6" t="n">
        <f aca="false">IF(OR(T179="Не дозвонились",Y179=0),0,1)</f>
        <v>1</v>
      </c>
      <c r="Y179" s="6" t="n">
        <v>1</v>
      </c>
      <c r="Z179" s="6"/>
      <c r="AA179" s="6"/>
      <c r="AB179" s="6" t="s">
        <v>209</v>
      </c>
    </row>
    <row r="180" customFormat="false" ht="15" hidden="false" customHeight="false" outlineLevel="0" collapsed="false">
      <c r="A180" s="6" t="n">
        <v>179</v>
      </c>
      <c r="B180" s="6" t="s">
        <v>29</v>
      </c>
      <c r="C180" s="6" t="s">
        <v>831</v>
      </c>
      <c r="D180" s="13" t="n">
        <v>46206</v>
      </c>
      <c r="E180" s="6" t="n">
        <f aca="false">MONTH(D180)</f>
        <v>7</v>
      </c>
      <c r="F180" s="6" t="s">
        <v>832</v>
      </c>
      <c r="G180" s="6" t="s">
        <v>833</v>
      </c>
      <c r="H180" s="6" t="s">
        <v>696</v>
      </c>
      <c r="I180" s="6" t="s">
        <v>37</v>
      </c>
      <c r="J180" s="6" t="s">
        <v>115</v>
      </c>
      <c r="K180" s="6" t="s">
        <v>143</v>
      </c>
      <c r="L180" s="13" t="n">
        <v>46210</v>
      </c>
      <c r="M180" s="6" t="n">
        <v>1</v>
      </c>
      <c r="N180" s="13" t="n">
        <v>46214</v>
      </c>
      <c r="O180" s="6" t="n">
        <v>1</v>
      </c>
      <c r="P180" s="6" t="s">
        <v>834</v>
      </c>
      <c r="Q180" s="8" t="n">
        <v>24100</v>
      </c>
      <c r="R180" s="6" t="s">
        <v>89</v>
      </c>
      <c r="S180" s="8" t="n">
        <f aca="false">IF(Q180="","",IF(R180="EUR",ROUND(Q180*Параметры!$B$3,0),Q180))</f>
        <v>24100</v>
      </c>
      <c r="T180" s="6" t="s">
        <v>15</v>
      </c>
      <c r="U180" s="6" t="s">
        <v>490</v>
      </c>
      <c r="V180" s="13" t="n">
        <v>46216</v>
      </c>
      <c r="W180" s="6" t="n">
        <f aca="false">IF(T180="Оплачено",1,0)</f>
        <v>1</v>
      </c>
      <c r="X180" s="6" t="n">
        <f aca="false">IF(OR(T180="Не дозвонились",Y180=0),0,1)</f>
        <v>1</v>
      </c>
      <c r="Y180" s="6" t="n">
        <v>1</v>
      </c>
      <c r="Z180" s="6"/>
      <c r="AA180" s="6"/>
      <c r="AB180" s="6"/>
    </row>
    <row r="181" customFormat="false" ht="15" hidden="false" customHeight="false" outlineLevel="0" collapsed="false">
      <c r="A181" s="6" t="n">
        <v>180</v>
      </c>
      <c r="B181" s="6" t="s">
        <v>29</v>
      </c>
      <c r="C181" s="6" t="s">
        <v>835</v>
      </c>
      <c r="D181" s="13" t="n">
        <v>46206</v>
      </c>
      <c r="E181" s="6" t="n">
        <f aca="false">MONTH(D181)</f>
        <v>7</v>
      </c>
      <c r="F181" s="6" t="s">
        <v>836</v>
      </c>
      <c r="G181" s="6" t="s">
        <v>837</v>
      </c>
      <c r="H181" s="6" t="s">
        <v>114</v>
      </c>
      <c r="I181" s="6" t="s">
        <v>36</v>
      </c>
      <c r="J181" s="6" t="s">
        <v>409</v>
      </c>
      <c r="K181" s="6" t="s">
        <v>175</v>
      </c>
      <c r="L181" s="13" t="n">
        <v>46211</v>
      </c>
      <c r="M181" s="6" t="n">
        <v>1</v>
      </c>
      <c r="N181" s="13" t="n">
        <v>46211</v>
      </c>
      <c r="O181" s="6" t="n">
        <v>1</v>
      </c>
      <c r="P181" s="6" t="s">
        <v>838</v>
      </c>
      <c r="Q181" s="8" t="n">
        <v>4600</v>
      </c>
      <c r="R181" s="6" t="s">
        <v>89</v>
      </c>
      <c r="S181" s="8" t="n">
        <f aca="false">IF(Q181="","",IF(R181="EUR",ROUND(Q181*Параметры!$B$3,0),Q181))</f>
        <v>4600</v>
      </c>
      <c r="T181" s="6" t="s">
        <v>15</v>
      </c>
      <c r="U181" s="6" t="s">
        <v>621</v>
      </c>
      <c r="V181" s="13" t="n">
        <v>46225</v>
      </c>
      <c r="W181" s="6" t="n">
        <f aca="false">IF(T181="Оплачено",1,0)</f>
        <v>1</v>
      </c>
      <c r="X181" s="6" t="n">
        <f aca="false">IF(OR(T181="Не дозвонились",Y181=0),0,1)</f>
        <v>1</v>
      </c>
      <c r="Y181" s="6" t="n">
        <v>1</v>
      </c>
      <c r="Z181" s="6"/>
      <c r="AA181" s="6"/>
      <c r="AB181" s="6"/>
    </row>
    <row r="182" customFormat="false" ht="15" hidden="false" customHeight="false" outlineLevel="0" collapsed="false">
      <c r="A182" s="6" t="n">
        <v>181</v>
      </c>
      <c r="B182" s="6" t="s">
        <v>30</v>
      </c>
      <c r="C182" s="6" t="s">
        <v>839</v>
      </c>
      <c r="D182" s="13" t="n">
        <v>46206</v>
      </c>
      <c r="E182" s="6" t="n">
        <f aca="false">MONTH(D182)</f>
        <v>7</v>
      </c>
      <c r="F182" s="6" t="s">
        <v>840</v>
      </c>
      <c r="G182" s="6" t="s">
        <v>841</v>
      </c>
      <c r="H182" s="6" t="s">
        <v>96</v>
      </c>
      <c r="I182" s="6" t="s">
        <v>34</v>
      </c>
      <c r="J182" s="6" t="s">
        <v>214</v>
      </c>
      <c r="K182" s="6" t="s">
        <v>215</v>
      </c>
      <c r="L182" s="13"/>
      <c r="M182" s="6" t="n">
        <v>0</v>
      </c>
      <c r="N182" s="13"/>
      <c r="O182" s="6" t="n">
        <v>0</v>
      </c>
      <c r="P182" s="6"/>
      <c r="Q182" s="8"/>
      <c r="R182" s="6"/>
      <c r="S182" s="8" t="str">
        <f aca="false">IF(Q182="","",IF(R182="EUR",ROUND(Q182*Параметры!$B$3,0),Q182))</f>
        <v/>
      </c>
      <c r="T182" s="6" t="s">
        <v>150</v>
      </c>
      <c r="U182" s="6" t="s">
        <v>151</v>
      </c>
      <c r="V182" s="13"/>
      <c r="W182" s="6" t="n">
        <f aca="false">IF(T182="Оплачено",1,0)</f>
        <v>0</v>
      </c>
      <c r="X182" s="6" t="n">
        <f aca="false">IF(OR(T182="Не дозвонились",Y182=0),0,1)</f>
        <v>1</v>
      </c>
      <c r="Y182" s="6" t="n">
        <v>1</v>
      </c>
      <c r="Z182" s="6"/>
      <c r="AA182" s="6"/>
      <c r="AB182" s="6" t="s">
        <v>180</v>
      </c>
    </row>
    <row r="183" customFormat="false" ht="15" hidden="false" customHeight="false" outlineLevel="0" collapsed="false">
      <c r="A183" s="6" t="n">
        <v>182</v>
      </c>
      <c r="B183" s="6" t="s">
        <v>30</v>
      </c>
      <c r="C183" s="6" t="s">
        <v>842</v>
      </c>
      <c r="D183" s="13" t="n">
        <v>46206</v>
      </c>
      <c r="E183" s="6" t="n">
        <f aca="false">MONTH(D183)</f>
        <v>7</v>
      </c>
      <c r="F183" s="6" t="s">
        <v>279</v>
      </c>
      <c r="G183" s="6" t="s">
        <v>843</v>
      </c>
      <c r="H183" s="6" t="s">
        <v>324</v>
      </c>
      <c r="I183" s="6" t="s">
        <v>35</v>
      </c>
      <c r="J183" s="6" t="s">
        <v>148</v>
      </c>
      <c r="K183" s="6" t="s">
        <v>224</v>
      </c>
      <c r="L183" s="13"/>
      <c r="M183" s="6" t="n">
        <v>0</v>
      </c>
      <c r="N183" s="13"/>
      <c r="O183" s="6" t="n">
        <v>0</v>
      </c>
      <c r="P183" s="6"/>
      <c r="Q183" s="8"/>
      <c r="R183" s="6"/>
      <c r="S183" s="8" t="str">
        <f aca="false">IF(Q183="","",IF(R183="EUR",ROUND(Q183*Параметры!$B$3,0),Q183))</f>
        <v/>
      </c>
      <c r="T183" s="6" t="s">
        <v>150</v>
      </c>
      <c r="U183" s="6" t="s">
        <v>151</v>
      </c>
      <c r="V183" s="13"/>
      <c r="W183" s="6" t="n">
        <f aca="false">IF(T183="Оплачено",1,0)</f>
        <v>0</v>
      </c>
      <c r="X183" s="6" t="n">
        <f aca="false">IF(OR(T183="Не дозвонились",Y183=0),0,1)</f>
        <v>1</v>
      </c>
      <c r="Y183" s="6" t="n">
        <v>1</v>
      </c>
      <c r="Z183" s="6"/>
      <c r="AA183" s="6"/>
      <c r="AB183" s="6" t="s">
        <v>180</v>
      </c>
    </row>
    <row r="184" customFormat="false" ht="15" hidden="false" customHeight="false" outlineLevel="0" collapsed="false">
      <c r="A184" s="6" t="n">
        <v>183</v>
      </c>
      <c r="B184" s="6" t="s">
        <v>30</v>
      </c>
      <c r="C184" s="6" t="s">
        <v>844</v>
      </c>
      <c r="D184" s="13" t="n">
        <v>46206</v>
      </c>
      <c r="E184" s="6" t="n">
        <f aca="false">MONTH(D184)</f>
        <v>7</v>
      </c>
      <c r="F184" s="6" t="s">
        <v>845</v>
      </c>
      <c r="G184" s="6" t="s">
        <v>846</v>
      </c>
      <c r="H184" s="6" t="s">
        <v>96</v>
      </c>
      <c r="I184" s="6" t="s">
        <v>34</v>
      </c>
      <c r="J184" s="6" t="s">
        <v>214</v>
      </c>
      <c r="K184" s="6" t="s">
        <v>224</v>
      </c>
      <c r="L184" s="13" t="n">
        <v>46208</v>
      </c>
      <c r="M184" s="6" t="n">
        <v>1</v>
      </c>
      <c r="N184" s="13" t="n">
        <v>46209</v>
      </c>
      <c r="O184" s="6" t="n">
        <v>1</v>
      </c>
      <c r="P184" s="6" t="s">
        <v>847</v>
      </c>
      <c r="Q184" s="8" t="n">
        <v>30800</v>
      </c>
      <c r="R184" s="6" t="s">
        <v>89</v>
      </c>
      <c r="S184" s="8" t="n">
        <f aca="false">IF(Q184="","",IF(R184="EUR",ROUND(Q184*Параметры!$B$3,0),Q184))</f>
        <v>30800</v>
      </c>
      <c r="T184" s="6" t="s">
        <v>150</v>
      </c>
      <c r="U184" s="6" t="s">
        <v>151</v>
      </c>
      <c r="V184" s="13"/>
      <c r="W184" s="6" t="n">
        <f aca="false">IF(T184="Оплачено",1,0)</f>
        <v>0</v>
      </c>
      <c r="X184" s="6" t="n">
        <f aca="false">IF(OR(T184="Не дозвонились",Y184=0),0,1)</f>
        <v>1</v>
      </c>
      <c r="Y184" s="6" t="n">
        <v>1</v>
      </c>
      <c r="Z184" s="6"/>
      <c r="AA184" s="6"/>
      <c r="AB184" s="6" t="s">
        <v>235</v>
      </c>
    </row>
    <row r="185" customFormat="false" ht="15" hidden="false" customHeight="false" outlineLevel="0" collapsed="false">
      <c r="A185" s="6" t="n">
        <v>184</v>
      </c>
      <c r="B185" s="6" t="s">
        <v>30</v>
      </c>
      <c r="C185" s="6" t="s">
        <v>848</v>
      </c>
      <c r="D185" s="13" t="n">
        <v>46206</v>
      </c>
      <c r="E185" s="6" t="n">
        <f aca="false">MONTH(D185)</f>
        <v>7</v>
      </c>
      <c r="F185" s="6" t="s">
        <v>849</v>
      </c>
      <c r="G185" s="6"/>
      <c r="H185" s="6" t="s">
        <v>850</v>
      </c>
      <c r="I185" s="6" t="s">
        <v>35</v>
      </c>
      <c r="J185" s="6" t="s">
        <v>148</v>
      </c>
      <c r="K185" s="6" t="s">
        <v>87</v>
      </c>
      <c r="L185" s="13"/>
      <c r="M185" s="6" t="n">
        <v>0</v>
      </c>
      <c r="N185" s="13"/>
      <c r="O185" s="6" t="n">
        <v>0</v>
      </c>
      <c r="P185" s="6"/>
      <c r="Q185" s="8"/>
      <c r="R185" s="6"/>
      <c r="S185" s="8" t="str">
        <f aca="false">IF(Q185="","",IF(R185="EUR",ROUND(Q185*Параметры!$B$3,0),Q185))</f>
        <v/>
      </c>
      <c r="T185" s="6" t="s">
        <v>150</v>
      </c>
      <c r="U185" s="6" t="s">
        <v>151</v>
      </c>
      <c r="V185" s="13"/>
      <c r="W185" s="6" t="n">
        <f aca="false">IF(T185="Оплачено",1,0)</f>
        <v>0</v>
      </c>
      <c r="X185" s="6" t="n">
        <f aca="false">IF(OR(T185="Не дозвонились",Y185=0),0,1)</f>
        <v>1</v>
      </c>
      <c r="Y185" s="6" t="n">
        <v>1</v>
      </c>
      <c r="Z185" s="6"/>
      <c r="AA185" s="6"/>
      <c r="AB185" s="6"/>
    </row>
    <row r="186" customFormat="false" ht="15" hidden="false" customHeight="false" outlineLevel="0" collapsed="false">
      <c r="A186" s="6" t="n">
        <v>185</v>
      </c>
      <c r="B186" s="6" t="s">
        <v>30</v>
      </c>
      <c r="C186" s="6" t="s">
        <v>851</v>
      </c>
      <c r="D186" s="13" t="n">
        <v>46206</v>
      </c>
      <c r="E186" s="6" t="n">
        <f aca="false">MONTH(D186)</f>
        <v>7</v>
      </c>
      <c r="F186" s="6" t="s">
        <v>852</v>
      </c>
      <c r="G186" s="6" t="s">
        <v>853</v>
      </c>
      <c r="H186" s="6" t="s">
        <v>155</v>
      </c>
      <c r="I186" s="6" t="s">
        <v>36</v>
      </c>
      <c r="J186" s="6" t="s">
        <v>543</v>
      </c>
      <c r="K186" s="6" t="s">
        <v>149</v>
      </c>
      <c r="L186" s="13" t="n">
        <v>46207</v>
      </c>
      <c r="M186" s="6" t="n">
        <v>1</v>
      </c>
      <c r="N186" s="13" t="n">
        <v>46208</v>
      </c>
      <c r="O186" s="6" t="n">
        <v>1</v>
      </c>
      <c r="P186" s="6" t="s">
        <v>854</v>
      </c>
      <c r="Q186" s="8" t="n">
        <v>32200</v>
      </c>
      <c r="R186" s="6" t="s">
        <v>89</v>
      </c>
      <c r="S186" s="8" t="n">
        <f aca="false">IF(Q186="","",IF(R186="EUR",ROUND(Q186*Параметры!$B$3,0),Q186))</f>
        <v>32200</v>
      </c>
      <c r="T186" s="6" t="s">
        <v>15</v>
      </c>
      <c r="U186" s="6" t="s">
        <v>674</v>
      </c>
      <c r="V186" s="13"/>
      <c r="W186" s="6" t="n">
        <f aca="false">IF(T186="Оплачено",1,0)</f>
        <v>1</v>
      </c>
      <c r="X186" s="6" t="n">
        <f aca="false">IF(OR(T186="Не дозвонились",Y186=0),0,1)</f>
        <v>1</v>
      </c>
      <c r="Y186" s="6" t="n">
        <v>1</v>
      </c>
      <c r="Z186" s="6"/>
      <c r="AA186" s="6" t="s">
        <v>758</v>
      </c>
      <c r="AB186" s="6"/>
    </row>
    <row r="187" customFormat="false" ht="15" hidden="false" customHeight="false" outlineLevel="0" collapsed="false">
      <c r="A187" s="6" t="n">
        <v>186</v>
      </c>
      <c r="B187" s="6" t="s">
        <v>28</v>
      </c>
      <c r="C187" s="6" t="s">
        <v>855</v>
      </c>
      <c r="D187" s="13" t="n">
        <v>46207</v>
      </c>
      <c r="E187" s="6" t="n">
        <f aca="false">MONTH(D187)</f>
        <v>7</v>
      </c>
      <c r="F187" s="6" t="s">
        <v>856</v>
      </c>
      <c r="G187" s="6" t="s">
        <v>857</v>
      </c>
      <c r="H187" s="6" t="s">
        <v>96</v>
      </c>
      <c r="I187" s="6" t="s">
        <v>36</v>
      </c>
      <c r="J187" s="6" t="s">
        <v>36</v>
      </c>
      <c r="K187" s="6" t="s">
        <v>858</v>
      </c>
      <c r="L187" s="13" t="n">
        <v>46212</v>
      </c>
      <c r="M187" s="6" t="n">
        <v>1</v>
      </c>
      <c r="N187" s="13" t="n">
        <v>46213</v>
      </c>
      <c r="O187" s="6" t="n">
        <v>1</v>
      </c>
      <c r="P187" s="6" t="s">
        <v>859</v>
      </c>
      <c r="Q187" s="8" t="n">
        <v>68100</v>
      </c>
      <c r="R187" s="6" t="s">
        <v>89</v>
      </c>
      <c r="S187" s="8" t="n">
        <f aca="false">IF(Q187="","",IF(R187="EUR",ROUND(Q187*Параметры!$B$3,0),Q187))</f>
        <v>68100</v>
      </c>
      <c r="T187" s="6" t="s">
        <v>15</v>
      </c>
      <c r="U187" s="6" t="s">
        <v>15</v>
      </c>
      <c r="V187" s="13" t="n">
        <v>46226</v>
      </c>
      <c r="W187" s="6" t="n">
        <f aca="false">IF(T187="Оплачено",1,0)</f>
        <v>1</v>
      </c>
      <c r="X187" s="6" t="n">
        <f aca="false">IF(OR(T187="Не дозвонились",Y187=0),0,1)</f>
        <v>1</v>
      </c>
      <c r="Y187" s="6" t="n">
        <v>1</v>
      </c>
      <c r="Z187" s="6"/>
      <c r="AA187" s="6"/>
      <c r="AB187" s="6"/>
    </row>
    <row r="188" customFormat="false" ht="15" hidden="false" customHeight="false" outlineLevel="0" collapsed="false">
      <c r="A188" s="6" t="n">
        <v>187</v>
      </c>
      <c r="B188" s="6" t="s">
        <v>28</v>
      </c>
      <c r="C188" s="6" t="s">
        <v>860</v>
      </c>
      <c r="D188" s="13" t="n">
        <v>46207</v>
      </c>
      <c r="E188" s="6" t="n">
        <f aca="false">MONTH(D188)</f>
        <v>7</v>
      </c>
      <c r="F188" s="6" t="s">
        <v>861</v>
      </c>
      <c r="G188" s="6" t="s">
        <v>862</v>
      </c>
      <c r="H188" s="6" t="s">
        <v>161</v>
      </c>
      <c r="I188" s="6" t="s">
        <v>34</v>
      </c>
      <c r="J188" s="6" t="s">
        <v>34</v>
      </c>
      <c r="K188" s="6" t="s">
        <v>162</v>
      </c>
      <c r="L188" s="13" t="n">
        <v>46212</v>
      </c>
      <c r="M188" s="6" t="n">
        <v>1</v>
      </c>
      <c r="N188" s="13" t="n">
        <v>46213</v>
      </c>
      <c r="O188" s="6" t="n">
        <v>1</v>
      </c>
      <c r="P188" s="6" t="s">
        <v>863</v>
      </c>
      <c r="Q188" s="8" t="n">
        <v>32900</v>
      </c>
      <c r="R188" s="6" t="s">
        <v>89</v>
      </c>
      <c r="S188" s="8" t="n">
        <f aca="false">IF(Q188="","",IF(R188="EUR",ROUND(Q188*Параметры!$B$3,0),Q188))</f>
        <v>32900</v>
      </c>
      <c r="T188" s="6" t="s">
        <v>90</v>
      </c>
      <c r="U188" s="6" t="s">
        <v>90</v>
      </c>
      <c r="V188" s="13"/>
      <c r="W188" s="6" t="n">
        <f aca="false">IF(T188="Оплачено",1,0)</f>
        <v>0</v>
      </c>
      <c r="X188" s="6" t="n">
        <f aca="false">IF(OR(T188="Не дозвонились",Y188=0),0,1)</f>
        <v>1</v>
      </c>
      <c r="Y188" s="6" t="n">
        <v>1</v>
      </c>
      <c r="Z188" s="6"/>
      <c r="AA188" s="6"/>
      <c r="AB188" s="6" t="s">
        <v>106</v>
      </c>
    </row>
    <row r="189" customFormat="false" ht="15" hidden="false" customHeight="false" outlineLevel="0" collapsed="false">
      <c r="A189" s="6" t="n">
        <v>188</v>
      </c>
      <c r="B189" s="6" t="s">
        <v>28</v>
      </c>
      <c r="C189" s="6" t="s">
        <v>864</v>
      </c>
      <c r="D189" s="13" t="n">
        <v>46207</v>
      </c>
      <c r="E189" s="6" t="n">
        <f aca="false">MONTH(D189)</f>
        <v>7</v>
      </c>
      <c r="F189" s="6" t="s">
        <v>865</v>
      </c>
      <c r="G189" s="6" t="s">
        <v>866</v>
      </c>
      <c r="H189" s="6" t="s">
        <v>103</v>
      </c>
      <c r="I189" s="6" t="s">
        <v>34</v>
      </c>
      <c r="J189" s="6" t="s">
        <v>97</v>
      </c>
      <c r="K189" s="6" t="s">
        <v>234</v>
      </c>
      <c r="L189" s="13" t="n">
        <v>46208</v>
      </c>
      <c r="M189" s="6" t="n">
        <v>1</v>
      </c>
      <c r="N189" s="13" t="n">
        <v>46209</v>
      </c>
      <c r="O189" s="6" t="n">
        <v>1</v>
      </c>
      <c r="P189" s="6" t="s">
        <v>867</v>
      </c>
      <c r="Q189" s="8" t="n">
        <v>2400</v>
      </c>
      <c r="R189" s="6" t="s">
        <v>89</v>
      </c>
      <c r="S189" s="8" t="n">
        <f aca="false">IF(Q189="","",IF(R189="EUR",ROUND(Q189*Параметры!$B$3,0),Q189))</f>
        <v>2400</v>
      </c>
      <c r="T189" s="6" t="s">
        <v>71</v>
      </c>
      <c r="U189" s="6" t="s">
        <v>71</v>
      </c>
      <c r="V189" s="13"/>
      <c r="W189" s="6" t="n">
        <f aca="false">IF(T189="Оплачено",1,0)</f>
        <v>0</v>
      </c>
      <c r="X189" s="6" t="n">
        <f aca="false">IF(OR(T189="Не дозвонились",Y189=0),0,1)</f>
        <v>1</v>
      </c>
      <c r="Y189" s="6" t="n">
        <v>1</v>
      </c>
      <c r="Z189" s="6"/>
      <c r="AA189" s="6"/>
      <c r="AB189" s="6" t="s">
        <v>235</v>
      </c>
    </row>
    <row r="190" customFormat="false" ht="15" hidden="false" customHeight="false" outlineLevel="0" collapsed="false">
      <c r="A190" s="6" t="n">
        <v>189</v>
      </c>
      <c r="B190" s="6" t="s">
        <v>29</v>
      </c>
      <c r="C190" s="6" t="s">
        <v>868</v>
      </c>
      <c r="D190" s="13" t="n">
        <v>46207</v>
      </c>
      <c r="E190" s="6" t="n">
        <f aca="false">MONTH(D190)</f>
        <v>7</v>
      </c>
      <c r="F190" s="6" t="s">
        <v>869</v>
      </c>
      <c r="G190" s="6" t="s">
        <v>870</v>
      </c>
      <c r="H190" s="6" t="s">
        <v>294</v>
      </c>
      <c r="I190" s="6" t="s">
        <v>34</v>
      </c>
      <c r="J190" s="6" t="s">
        <v>383</v>
      </c>
      <c r="K190" s="6" t="s">
        <v>128</v>
      </c>
      <c r="L190" s="13"/>
      <c r="M190" s="6" t="n">
        <v>0</v>
      </c>
      <c r="N190" s="13"/>
      <c r="O190" s="6" t="n">
        <v>0</v>
      </c>
      <c r="P190" s="6"/>
      <c r="Q190" s="8"/>
      <c r="R190" s="6"/>
      <c r="S190" s="8" t="str">
        <f aca="false">IF(Q190="","",IF(R190="EUR",ROUND(Q190*Параметры!$B$3,0),Q190))</f>
        <v/>
      </c>
      <c r="T190" s="6" t="s">
        <v>80</v>
      </c>
      <c r="U190" s="6" t="s">
        <v>117</v>
      </c>
      <c r="V190" s="13"/>
      <c r="W190" s="6" t="n">
        <f aca="false">IF(T190="Оплачено",1,0)</f>
        <v>0</v>
      </c>
      <c r="X190" s="6" t="n">
        <f aca="false">IF(OR(T190="Не дозвонились",Y190=0),0,1)</f>
        <v>0</v>
      </c>
      <c r="Y190" s="6" t="n">
        <v>1</v>
      </c>
      <c r="Z190" s="6"/>
      <c r="AA190" s="6"/>
      <c r="AB190" s="6"/>
    </row>
    <row r="191" customFormat="false" ht="15" hidden="false" customHeight="false" outlineLevel="0" collapsed="false">
      <c r="A191" s="6" t="n">
        <v>190</v>
      </c>
      <c r="B191" s="6" t="s">
        <v>29</v>
      </c>
      <c r="C191" s="6" t="s">
        <v>871</v>
      </c>
      <c r="D191" s="13" t="n">
        <v>46207</v>
      </c>
      <c r="E191" s="6" t="n">
        <f aca="false">MONTH(D191)</f>
        <v>7</v>
      </c>
      <c r="F191" s="6" t="s">
        <v>872</v>
      </c>
      <c r="G191" s="6" t="s">
        <v>873</v>
      </c>
      <c r="H191" s="6" t="s">
        <v>266</v>
      </c>
      <c r="I191" s="6" t="s">
        <v>38</v>
      </c>
      <c r="J191" s="6" t="s">
        <v>38</v>
      </c>
      <c r="K191" s="6" t="s">
        <v>70</v>
      </c>
      <c r="L191" s="13"/>
      <c r="M191" s="6" t="n">
        <v>0</v>
      </c>
      <c r="N191" s="13"/>
      <c r="O191" s="6" t="n">
        <v>0</v>
      </c>
      <c r="P191" s="6"/>
      <c r="Q191" s="8"/>
      <c r="R191" s="6"/>
      <c r="S191" s="8" t="str">
        <f aca="false">IF(Q191="","",IF(R191="EUR",ROUND(Q191*Параметры!$B$3,0),Q191))</f>
        <v/>
      </c>
      <c r="T191" s="6" t="s">
        <v>80</v>
      </c>
      <c r="U191" s="6" t="s">
        <v>117</v>
      </c>
      <c r="V191" s="13"/>
      <c r="W191" s="6" t="n">
        <f aca="false">IF(T191="Оплачено",1,0)</f>
        <v>0</v>
      </c>
      <c r="X191" s="6" t="n">
        <f aca="false">IF(OR(T191="Не дозвонились",Y191=0),0,1)</f>
        <v>0</v>
      </c>
      <c r="Y191" s="6" t="n">
        <v>1</v>
      </c>
      <c r="Z191" s="6"/>
      <c r="AA191" s="6"/>
      <c r="AB191" s="6"/>
    </row>
    <row r="192" customFormat="false" ht="15" hidden="false" customHeight="false" outlineLevel="0" collapsed="false">
      <c r="A192" s="6" t="n">
        <v>191</v>
      </c>
      <c r="B192" s="6" t="s">
        <v>30</v>
      </c>
      <c r="C192" s="6" t="s">
        <v>874</v>
      </c>
      <c r="D192" s="13" t="n">
        <v>46207</v>
      </c>
      <c r="E192" s="6" t="n">
        <f aca="false">MONTH(D192)</f>
        <v>7</v>
      </c>
      <c r="F192" s="6" t="s">
        <v>875</v>
      </c>
      <c r="G192" s="6" t="s">
        <v>876</v>
      </c>
      <c r="H192" s="6" t="s">
        <v>665</v>
      </c>
      <c r="I192" s="6" t="s">
        <v>34</v>
      </c>
      <c r="J192" s="6" t="s">
        <v>383</v>
      </c>
      <c r="K192" s="6" t="s">
        <v>133</v>
      </c>
      <c r="L192" s="13" t="n">
        <v>46210</v>
      </c>
      <c r="M192" s="6" t="n">
        <v>1</v>
      </c>
      <c r="N192" s="13" t="n">
        <v>46211</v>
      </c>
      <c r="O192" s="6" t="n">
        <v>1</v>
      </c>
      <c r="P192" s="6" t="s">
        <v>877</v>
      </c>
      <c r="Q192" s="8" t="n">
        <v>32500</v>
      </c>
      <c r="R192" s="6" t="s">
        <v>89</v>
      </c>
      <c r="S192" s="8" t="n">
        <f aca="false">IF(Q192="","",IF(R192="EUR",ROUND(Q192*Параметры!$B$3,0),Q192))</f>
        <v>32500</v>
      </c>
      <c r="T192" s="6" t="s">
        <v>150</v>
      </c>
      <c r="U192" s="6" t="s">
        <v>151</v>
      </c>
      <c r="V192" s="13"/>
      <c r="W192" s="6" t="n">
        <f aca="false">IF(T192="Оплачено",1,0)</f>
        <v>0</v>
      </c>
      <c r="X192" s="6" t="n">
        <f aca="false">IF(OR(T192="Не дозвонились",Y192=0),0,1)</f>
        <v>1</v>
      </c>
      <c r="Y192" s="6" t="n">
        <v>1</v>
      </c>
      <c r="Z192" s="6"/>
      <c r="AA192" s="6"/>
      <c r="AB192" s="6" t="s">
        <v>356</v>
      </c>
    </row>
    <row r="193" customFormat="false" ht="15" hidden="false" customHeight="false" outlineLevel="0" collapsed="false">
      <c r="A193" s="6" t="n">
        <v>192</v>
      </c>
      <c r="B193" s="6" t="s">
        <v>30</v>
      </c>
      <c r="C193" s="6" t="s">
        <v>878</v>
      </c>
      <c r="D193" s="13" t="n">
        <v>46207</v>
      </c>
      <c r="E193" s="6" t="n">
        <f aca="false">MONTH(D193)</f>
        <v>7</v>
      </c>
      <c r="F193" s="6" t="s">
        <v>879</v>
      </c>
      <c r="G193" s="6" t="s">
        <v>880</v>
      </c>
      <c r="H193" s="6" t="s">
        <v>161</v>
      </c>
      <c r="I193" s="6" t="s">
        <v>34</v>
      </c>
      <c r="J193" s="6" t="s">
        <v>132</v>
      </c>
      <c r="K193" s="6" t="s">
        <v>881</v>
      </c>
      <c r="L193" s="13"/>
      <c r="M193" s="6" t="n">
        <v>0</v>
      </c>
      <c r="N193" s="13"/>
      <c r="O193" s="6" t="n">
        <v>0</v>
      </c>
      <c r="P193" s="6"/>
      <c r="Q193" s="8"/>
      <c r="R193" s="6"/>
      <c r="S193" s="8" t="str">
        <f aca="false">IF(Q193="","",IF(R193="EUR",ROUND(Q193*Параметры!$B$3,0),Q193))</f>
        <v/>
      </c>
      <c r="T193" s="6" t="s">
        <v>71</v>
      </c>
      <c r="U193" s="6" t="s">
        <v>72</v>
      </c>
      <c r="V193" s="13"/>
      <c r="W193" s="6" t="n">
        <f aca="false">IF(T193="Оплачено",1,0)</f>
        <v>0</v>
      </c>
      <c r="X193" s="6" t="n">
        <f aca="false">IF(OR(T193="Не дозвонились",Y193=0),0,1)</f>
        <v>1</v>
      </c>
      <c r="Y193" s="6" t="n">
        <v>1</v>
      </c>
      <c r="Z193" s="6"/>
      <c r="AA193" s="6"/>
      <c r="AB193" s="6" t="s">
        <v>235</v>
      </c>
    </row>
    <row r="194" customFormat="false" ht="15" hidden="false" customHeight="false" outlineLevel="0" collapsed="false">
      <c r="A194" s="6" t="n">
        <v>193</v>
      </c>
      <c r="B194" s="6" t="s">
        <v>28</v>
      </c>
      <c r="C194" s="6" t="s">
        <v>882</v>
      </c>
      <c r="D194" s="13" t="n">
        <v>46208</v>
      </c>
      <c r="E194" s="6" t="n">
        <f aca="false">MONTH(D194)</f>
        <v>7</v>
      </c>
      <c r="F194" s="6" t="s">
        <v>883</v>
      </c>
      <c r="G194" s="6" t="s">
        <v>884</v>
      </c>
      <c r="H194" s="6" t="s">
        <v>103</v>
      </c>
      <c r="I194" s="6" t="s">
        <v>35</v>
      </c>
      <c r="J194" s="6" t="s">
        <v>35</v>
      </c>
      <c r="K194" s="6" t="s">
        <v>202</v>
      </c>
      <c r="L194" s="13" t="n">
        <v>46210</v>
      </c>
      <c r="M194" s="6" t="n">
        <v>1</v>
      </c>
      <c r="N194" s="13" t="n">
        <v>46211</v>
      </c>
      <c r="O194" s="6" t="n">
        <v>1</v>
      </c>
      <c r="P194" s="6" t="s">
        <v>885</v>
      </c>
      <c r="Q194" s="8" t="n">
        <v>18700</v>
      </c>
      <c r="R194" s="6" t="s">
        <v>89</v>
      </c>
      <c r="S194" s="8" t="n">
        <f aca="false">IF(Q194="","",IF(R194="EUR",ROUND(Q194*Параметры!$B$3,0),Q194))</f>
        <v>18700</v>
      </c>
      <c r="T194" s="6" t="s">
        <v>15</v>
      </c>
      <c r="U194" s="6" t="s">
        <v>15</v>
      </c>
      <c r="V194" s="13" t="n">
        <v>46217</v>
      </c>
      <c r="W194" s="6" t="n">
        <f aca="false">IF(T194="Оплачено",1,0)</f>
        <v>1</v>
      </c>
      <c r="X194" s="6" t="n">
        <f aca="false">IF(OR(T194="Не дозвонились",Y194=0),0,1)</f>
        <v>1</v>
      </c>
      <c r="Y194" s="6" t="n">
        <v>1</v>
      </c>
      <c r="Z194" s="6"/>
      <c r="AA194" s="6"/>
      <c r="AB194" s="6"/>
    </row>
    <row r="195" customFormat="false" ht="15" hidden="false" customHeight="false" outlineLevel="0" collapsed="false">
      <c r="A195" s="6" t="n">
        <v>194</v>
      </c>
      <c r="B195" s="6" t="s">
        <v>28</v>
      </c>
      <c r="C195" s="6" t="s">
        <v>886</v>
      </c>
      <c r="D195" s="13" t="n">
        <v>46208</v>
      </c>
      <c r="E195" s="6" t="n">
        <f aca="false">MONTH(D195)</f>
        <v>7</v>
      </c>
      <c r="F195" s="6" t="s">
        <v>887</v>
      </c>
      <c r="G195" s="6" t="s">
        <v>888</v>
      </c>
      <c r="H195" s="6" t="s">
        <v>96</v>
      </c>
      <c r="I195" s="6" t="s">
        <v>36</v>
      </c>
      <c r="J195" s="6" t="s">
        <v>253</v>
      </c>
      <c r="K195" s="6" t="s">
        <v>287</v>
      </c>
      <c r="L195" s="13" t="n">
        <v>46210</v>
      </c>
      <c r="M195" s="6" t="n">
        <v>1</v>
      </c>
      <c r="N195" s="13" t="n">
        <v>46217</v>
      </c>
      <c r="O195" s="6" t="n">
        <v>1</v>
      </c>
      <c r="P195" s="6" t="s">
        <v>305</v>
      </c>
      <c r="Q195" s="8" t="n">
        <v>15000</v>
      </c>
      <c r="R195" s="6" t="s">
        <v>89</v>
      </c>
      <c r="S195" s="8" t="n">
        <f aca="false">IF(Q195="","",IF(R195="EUR",ROUND(Q195*Параметры!$B$3,0),Q195))</f>
        <v>15000</v>
      </c>
      <c r="T195" s="6" t="s">
        <v>71</v>
      </c>
      <c r="U195" s="6" t="s">
        <v>71</v>
      </c>
      <c r="V195" s="13"/>
      <c r="W195" s="6" t="n">
        <f aca="false">IF(T195="Оплачено",1,0)</f>
        <v>0</v>
      </c>
      <c r="X195" s="6" t="n">
        <f aca="false">IF(OR(T195="Не дозвонились",Y195=0),0,1)</f>
        <v>1</v>
      </c>
      <c r="Y195" s="6" t="n">
        <v>1</v>
      </c>
      <c r="Z195" s="6"/>
      <c r="AA195" s="6"/>
      <c r="AB195" s="6" t="s">
        <v>889</v>
      </c>
    </row>
    <row r="196" customFormat="false" ht="15" hidden="false" customHeight="false" outlineLevel="0" collapsed="false">
      <c r="A196" s="6" t="n">
        <v>195</v>
      </c>
      <c r="B196" s="6" t="s">
        <v>29</v>
      </c>
      <c r="C196" s="6" t="s">
        <v>890</v>
      </c>
      <c r="D196" s="13" t="n">
        <v>46208</v>
      </c>
      <c r="E196" s="6" t="n">
        <f aca="false">MONTH(D196)</f>
        <v>7</v>
      </c>
      <c r="F196" s="6" t="s">
        <v>891</v>
      </c>
      <c r="G196" s="6" t="s">
        <v>892</v>
      </c>
      <c r="H196" s="6" t="s">
        <v>266</v>
      </c>
      <c r="I196" s="6" t="s">
        <v>34</v>
      </c>
      <c r="J196" s="6" t="s">
        <v>383</v>
      </c>
      <c r="K196" s="6" t="s">
        <v>239</v>
      </c>
      <c r="L196" s="13"/>
      <c r="M196" s="6" t="n">
        <v>0</v>
      </c>
      <c r="N196" s="13"/>
      <c r="O196" s="6" t="n">
        <v>0</v>
      </c>
      <c r="P196" s="6"/>
      <c r="Q196" s="8"/>
      <c r="R196" s="6"/>
      <c r="S196" s="8" t="str">
        <f aca="false">IF(Q196="","",IF(R196="EUR",ROUND(Q196*Параметры!$B$3,0),Q196))</f>
        <v/>
      </c>
      <c r="T196" s="6" t="s">
        <v>80</v>
      </c>
      <c r="U196" s="6" t="s">
        <v>117</v>
      </c>
      <c r="V196" s="13"/>
      <c r="W196" s="6" t="n">
        <f aca="false">IF(T196="Оплачено",1,0)</f>
        <v>0</v>
      </c>
      <c r="X196" s="6" t="n">
        <f aca="false">IF(OR(T196="Не дозвонились",Y196=0),0,1)</f>
        <v>0</v>
      </c>
      <c r="Y196" s="6" t="n">
        <v>1</v>
      </c>
      <c r="Z196" s="6"/>
      <c r="AA196" s="6"/>
      <c r="AB196" s="6"/>
    </row>
    <row r="197" customFormat="false" ht="15" hidden="false" customHeight="false" outlineLevel="0" collapsed="false">
      <c r="A197" s="6" t="n">
        <v>196</v>
      </c>
      <c r="B197" s="6" t="s">
        <v>29</v>
      </c>
      <c r="C197" s="6" t="s">
        <v>893</v>
      </c>
      <c r="D197" s="13" t="n">
        <v>46208</v>
      </c>
      <c r="E197" s="6" t="n">
        <f aca="false">MONTH(D197)</f>
        <v>7</v>
      </c>
      <c r="F197" s="6" t="s">
        <v>894</v>
      </c>
      <c r="G197" s="6" t="s">
        <v>895</v>
      </c>
      <c r="H197" s="6" t="s">
        <v>121</v>
      </c>
      <c r="I197" s="6" t="s">
        <v>36</v>
      </c>
      <c r="J197" s="6" t="s">
        <v>354</v>
      </c>
      <c r="K197" s="6" t="s">
        <v>143</v>
      </c>
      <c r="L197" s="13" t="n">
        <v>46214</v>
      </c>
      <c r="M197" s="6" t="n">
        <v>1</v>
      </c>
      <c r="N197" s="13" t="n">
        <v>46223</v>
      </c>
      <c r="O197" s="6" t="n">
        <v>1</v>
      </c>
      <c r="P197" s="6" t="s">
        <v>896</v>
      </c>
      <c r="Q197" s="8" t="n">
        <v>18300</v>
      </c>
      <c r="R197" s="6" t="s">
        <v>89</v>
      </c>
      <c r="S197" s="8" t="n">
        <f aca="false">IF(Q197="","",IF(R197="EUR",ROUND(Q197*Параметры!$B$3,0),Q197))</f>
        <v>18300</v>
      </c>
      <c r="T197" s="6" t="s">
        <v>15</v>
      </c>
      <c r="U197" s="6" t="s">
        <v>621</v>
      </c>
      <c r="V197" s="13" t="n">
        <v>46239</v>
      </c>
      <c r="W197" s="6" t="n">
        <f aca="false">IF(T197="Оплачено",1,0)</f>
        <v>1</v>
      </c>
      <c r="X197" s="6" t="n">
        <f aca="false">IF(OR(T197="Не дозвонились",Y197=0),0,1)</f>
        <v>1</v>
      </c>
      <c r="Y197" s="6" t="n">
        <v>1</v>
      </c>
      <c r="Z197" s="6"/>
      <c r="AA197" s="6"/>
      <c r="AB197" s="6" t="s">
        <v>106</v>
      </c>
    </row>
    <row r="198" customFormat="false" ht="15" hidden="false" customHeight="false" outlineLevel="0" collapsed="false">
      <c r="A198" s="6" t="n">
        <v>197</v>
      </c>
      <c r="B198" s="6" t="s">
        <v>28</v>
      </c>
      <c r="C198" s="6" t="s">
        <v>897</v>
      </c>
      <c r="D198" s="13" t="n">
        <v>46209</v>
      </c>
      <c r="E198" s="6" t="n">
        <f aca="false">MONTH(D198)</f>
        <v>7</v>
      </c>
      <c r="F198" s="6" t="s">
        <v>898</v>
      </c>
      <c r="G198" s="6" t="s">
        <v>899</v>
      </c>
      <c r="H198" s="6" t="s">
        <v>324</v>
      </c>
      <c r="I198" s="6" t="s">
        <v>37</v>
      </c>
      <c r="J198" s="6" t="s">
        <v>313</v>
      </c>
      <c r="K198" s="6" t="s">
        <v>110</v>
      </c>
      <c r="L198" s="13" t="n">
        <v>46210</v>
      </c>
      <c r="M198" s="6" t="n">
        <v>1</v>
      </c>
      <c r="N198" s="13" t="n">
        <v>46211</v>
      </c>
      <c r="O198" s="6" t="n">
        <v>1</v>
      </c>
      <c r="P198" s="6" t="s">
        <v>900</v>
      </c>
      <c r="Q198" s="8" t="n">
        <v>3500</v>
      </c>
      <c r="R198" s="6" t="s">
        <v>89</v>
      </c>
      <c r="S198" s="8" t="n">
        <f aca="false">IF(Q198="","",IF(R198="EUR",ROUND(Q198*Параметры!$B$3,0),Q198))</f>
        <v>3500</v>
      </c>
      <c r="T198" s="6" t="s">
        <v>71</v>
      </c>
      <c r="U198" s="6" t="s">
        <v>71</v>
      </c>
      <c r="V198" s="13"/>
      <c r="W198" s="6" t="n">
        <f aca="false">IF(T198="Оплачено",1,0)</f>
        <v>0</v>
      </c>
      <c r="X198" s="6" t="n">
        <f aca="false">IF(OR(T198="Не дозвонились",Y198=0),0,1)</f>
        <v>1</v>
      </c>
      <c r="Y198" s="6" t="n">
        <v>1</v>
      </c>
      <c r="Z198" s="6"/>
      <c r="AA198" s="6"/>
      <c r="AB198" s="6" t="s">
        <v>235</v>
      </c>
    </row>
    <row r="199" customFormat="false" ht="15" hidden="false" customHeight="false" outlineLevel="0" collapsed="false">
      <c r="A199" s="6" t="n">
        <v>198</v>
      </c>
      <c r="B199" s="6" t="s">
        <v>28</v>
      </c>
      <c r="C199" s="6" t="s">
        <v>901</v>
      </c>
      <c r="D199" s="13" t="n">
        <v>46209</v>
      </c>
      <c r="E199" s="6" t="n">
        <f aca="false">MONTH(D199)</f>
        <v>7</v>
      </c>
      <c r="F199" s="6" t="s">
        <v>902</v>
      </c>
      <c r="G199" s="6" t="s">
        <v>903</v>
      </c>
      <c r="H199" s="6" t="s">
        <v>184</v>
      </c>
      <c r="I199" s="6" t="s">
        <v>34</v>
      </c>
      <c r="J199" s="6" t="s">
        <v>34</v>
      </c>
      <c r="K199" s="6" t="s">
        <v>110</v>
      </c>
      <c r="L199" s="13" t="n">
        <v>46210</v>
      </c>
      <c r="M199" s="6" t="n">
        <v>1</v>
      </c>
      <c r="N199" s="13" t="n">
        <v>46211</v>
      </c>
      <c r="O199" s="6" t="n">
        <v>1</v>
      </c>
      <c r="P199" s="6" t="s">
        <v>904</v>
      </c>
      <c r="Q199" s="8" t="n">
        <v>3800</v>
      </c>
      <c r="R199" s="6" t="s">
        <v>89</v>
      </c>
      <c r="S199" s="8" t="n">
        <f aca="false">IF(Q199="","",IF(R199="EUR",ROUND(Q199*Параметры!$B$3,0),Q199))</f>
        <v>3800</v>
      </c>
      <c r="T199" s="6" t="s">
        <v>15</v>
      </c>
      <c r="U199" s="6" t="s">
        <v>15</v>
      </c>
      <c r="V199" s="13" t="n">
        <v>46219</v>
      </c>
      <c r="W199" s="6" t="n">
        <f aca="false">IF(T199="Оплачено",1,0)</f>
        <v>1</v>
      </c>
      <c r="X199" s="6" t="n">
        <f aca="false">IF(OR(T199="Не дозвонились",Y199=0),0,1)</f>
        <v>1</v>
      </c>
      <c r="Y199" s="6" t="n">
        <v>1</v>
      </c>
      <c r="Z199" s="6"/>
      <c r="AA199" s="6"/>
      <c r="AB199" s="6"/>
    </row>
    <row r="200" customFormat="false" ht="15" hidden="false" customHeight="false" outlineLevel="0" collapsed="false">
      <c r="A200" s="6" t="n">
        <v>199</v>
      </c>
      <c r="B200" s="6" t="s">
        <v>29</v>
      </c>
      <c r="C200" s="6" t="s">
        <v>905</v>
      </c>
      <c r="D200" s="13" t="n">
        <v>46209</v>
      </c>
      <c r="E200" s="6" t="n">
        <f aca="false">MONTH(D200)</f>
        <v>7</v>
      </c>
      <c r="F200" s="6" t="s">
        <v>906</v>
      </c>
      <c r="G200" s="6" t="s">
        <v>907</v>
      </c>
      <c r="H200" s="6" t="s">
        <v>481</v>
      </c>
      <c r="I200" s="6" t="s">
        <v>36</v>
      </c>
      <c r="J200" s="6" t="s">
        <v>354</v>
      </c>
      <c r="K200" s="6" t="s">
        <v>128</v>
      </c>
      <c r="L200" s="13" t="n">
        <v>46210</v>
      </c>
      <c r="M200" s="6" t="n">
        <v>1</v>
      </c>
      <c r="N200" s="13"/>
      <c r="O200" s="6" t="n">
        <v>0</v>
      </c>
      <c r="P200" s="6"/>
      <c r="Q200" s="8"/>
      <c r="R200" s="6"/>
      <c r="S200" s="8" t="str">
        <f aca="false">IF(Q200="","",IF(R200="EUR",ROUND(Q200*Параметры!$B$3,0),Q200))</f>
        <v/>
      </c>
      <c r="T200" s="6" t="s">
        <v>71</v>
      </c>
      <c r="U200" s="6" t="s">
        <v>301</v>
      </c>
      <c r="V200" s="13"/>
      <c r="W200" s="6" t="n">
        <f aca="false">IF(T200="Оплачено",1,0)</f>
        <v>0</v>
      </c>
      <c r="X200" s="6" t="n">
        <f aca="false">IF(OR(T200="Не дозвонились",Y200=0),0,1)</f>
        <v>1</v>
      </c>
      <c r="Y200" s="6" t="n">
        <v>1</v>
      </c>
      <c r="Z200" s="6"/>
      <c r="AA200" s="6"/>
      <c r="AB200" s="6" t="s">
        <v>258</v>
      </c>
    </row>
    <row r="201" customFormat="false" ht="15" hidden="false" customHeight="false" outlineLevel="0" collapsed="false">
      <c r="A201" s="6" t="n">
        <v>200</v>
      </c>
      <c r="B201" s="6" t="s">
        <v>30</v>
      </c>
      <c r="C201" s="6" t="s">
        <v>908</v>
      </c>
      <c r="D201" s="13" t="n">
        <v>46209</v>
      </c>
      <c r="E201" s="6" t="n">
        <f aca="false">MONTH(D201)</f>
        <v>7</v>
      </c>
      <c r="F201" s="6" t="s">
        <v>909</v>
      </c>
      <c r="G201" s="6" t="s">
        <v>910</v>
      </c>
      <c r="H201" s="6" t="s">
        <v>147</v>
      </c>
      <c r="I201" s="6" t="s">
        <v>34</v>
      </c>
      <c r="J201" s="6" t="s">
        <v>383</v>
      </c>
      <c r="K201" s="6" t="s">
        <v>277</v>
      </c>
      <c r="L201" s="13" t="n">
        <v>46212</v>
      </c>
      <c r="M201" s="6" t="n">
        <v>1</v>
      </c>
      <c r="N201" s="13" t="n">
        <v>46213</v>
      </c>
      <c r="O201" s="6" t="n">
        <v>1</v>
      </c>
      <c r="P201" s="6" t="s">
        <v>911</v>
      </c>
      <c r="Q201" s="8" t="n">
        <v>5100</v>
      </c>
      <c r="R201" s="6" t="s">
        <v>89</v>
      </c>
      <c r="S201" s="8" t="n">
        <f aca="false">IF(Q201="","",IF(R201="EUR",ROUND(Q201*Параметры!$B$3,0),Q201))</f>
        <v>5100</v>
      </c>
      <c r="T201" s="6" t="s">
        <v>90</v>
      </c>
      <c r="U201" s="6" t="s">
        <v>434</v>
      </c>
      <c r="V201" s="13"/>
      <c r="W201" s="6" t="n">
        <f aca="false">IF(T201="Оплачено",1,0)</f>
        <v>0</v>
      </c>
      <c r="X201" s="6" t="n">
        <f aca="false">IF(OR(T201="Не дозвонились",Y201=0),0,1)</f>
        <v>1</v>
      </c>
      <c r="Y201" s="6" t="n">
        <v>1</v>
      </c>
      <c r="Z201" s="6"/>
      <c r="AA201" s="6"/>
      <c r="AB201" s="6"/>
    </row>
    <row r="202" customFormat="false" ht="15" hidden="false" customHeight="false" outlineLevel="0" collapsed="false">
      <c r="A202" s="6" t="n">
        <v>201</v>
      </c>
      <c r="B202" s="6" t="s">
        <v>28</v>
      </c>
      <c r="C202" s="6" t="s">
        <v>912</v>
      </c>
      <c r="D202" s="13" t="n">
        <v>46210</v>
      </c>
      <c r="E202" s="6" t="n">
        <f aca="false">MONTH(D202)</f>
        <v>7</v>
      </c>
      <c r="F202" s="6" t="s">
        <v>913</v>
      </c>
      <c r="G202" s="6" t="s">
        <v>914</v>
      </c>
      <c r="H202" s="6" t="s">
        <v>161</v>
      </c>
      <c r="I202" s="6" t="s">
        <v>34</v>
      </c>
      <c r="J202" s="6" t="s">
        <v>34</v>
      </c>
      <c r="K202" s="6" t="s">
        <v>104</v>
      </c>
      <c r="L202" s="13"/>
      <c r="M202" s="6" t="n">
        <v>0</v>
      </c>
      <c r="N202" s="13"/>
      <c r="O202" s="6" t="n">
        <v>0</v>
      </c>
      <c r="P202" s="6"/>
      <c r="Q202" s="8"/>
      <c r="R202" s="6"/>
      <c r="S202" s="8" t="str">
        <f aca="false">IF(Q202="","",IF(R202="EUR",ROUND(Q202*Параметры!$B$3,0),Q202))</f>
        <v/>
      </c>
      <c r="T202" s="6" t="s">
        <v>71</v>
      </c>
      <c r="U202" s="6" t="s">
        <v>71</v>
      </c>
      <c r="V202" s="13"/>
      <c r="W202" s="6" t="n">
        <f aca="false">IF(T202="Оплачено",1,0)</f>
        <v>0</v>
      </c>
      <c r="X202" s="6" t="n">
        <f aca="false">IF(OR(T202="Не дозвонились",Y202=0),0,1)</f>
        <v>1</v>
      </c>
      <c r="Y202" s="6" t="n">
        <v>1</v>
      </c>
      <c r="Z202" s="6"/>
      <c r="AA202" s="6"/>
      <c r="AB202" s="6" t="s">
        <v>209</v>
      </c>
    </row>
    <row r="203" customFormat="false" ht="15" hidden="false" customHeight="false" outlineLevel="0" collapsed="false">
      <c r="A203" s="6" t="n">
        <v>202</v>
      </c>
      <c r="B203" s="6" t="s">
        <v>29</v>
      </c>
      <c r="C203" s="6" t="s">
        <v>915</v>
      </c>
      <c r="D203" s="13" t="n">
        <v>46210</v>
      </c>
      <c r="E203" s="6" t="n">
        <f aca="false">MONTH(D203)</f>
        <v>7</v>
      </c>
      <c r="F203" s="6" t="s">
        <v>916</v>
      </c>
      <c r="G203" s="6" t="s">
        <v>917</v>
      </c>
      <c r="H203" s="6" t="s">
        <v>114</v>
      </c>
      <c r="I203" s="6" t="s">
        <v>37</v>
      </c>
      <c r="J203" s="6" t="s">
        <v>69</v>
      </c>
      <c r="K203" s="6" t="s">
        <v>299</v>
      </c>
      <c r="L203" s="13" t="n">
        <v>46214</v>
      </c>
      <c r="M203" s="6" t="n">
        <v>1</v>
      </c>
      <c r="N203" s="13" t="n">
        <v>46216</v>
      </c>
      <c r="O203" s="6" t="n">
        <v>1</v>
      </c>
      <c r="P203" s="6" t="s">
        <v>918</v>
      </c>
      <c r="Q203" s="8" t="n">
        <v>56800</v>
      </c>
      <c r="R203" s="6" t="s">
        <v>89</v>
      </c>
      <c r="S203" s="8" t="n">
        <f aca="false">IF(Q203="","",IF(R203="EUR",ROUND(Q203*Параметры!$B$3,0),Q203))</f>
        <v>56800</v>
      </c>
      <c r="T203" s="6" t="s">
        <v>71</v>
      </c>
      <c r="U203" s="6" t="s">
        <v>72</v>
      </c>
      <c r="V203" s="13"/>
      <c r="W203" s="6" t="n">
        <f aca="false">IF(T203="Оплачено",1,0)</f>
        <v>0</v>
      </c>
      <c r="X203" s="6" t="n">
        <f aca="false">IF(OR(T203="Не дозвонились",Y203=0),0,1)</f>
        <v>1</v>
      </c>
      <c r="Y203" s="6" t="n">
        <v>1</v>
      </c>
      <c r="Z203" s="6"/>
      <c r="AA203" s="6"/>
      <c r="AB203" s="6" t="s">
        <v>919</v>
      </c>
    </row>
    <row r="204" customFormat="false" ht="15" hidden="false" customHeight="false" outlineLevel="0" collapsed="false">
      <c r="A204" s="6" t="n">
        <v>203</v>
      </c>
      <c r="B204" s="6" t="s">
        <v>29</v>
      </c>
      <c r="C204" s="6" t="s">
        <v>920</v>
      </c>
      <c r="D204" s="13" t="n">
        <v>46210</v>
      </c>
      <c r="E204" s="6" t="n">
        <f aca="false">MONTH(D204)</f>
        <v>7</v>
      </c>
      <c r="F204" s="6" t="s">
        <v>921</v>
      </c>
      <c r="G204" s="6" t="s">
        <v>922</v>
      </c>
      <c r="H204" s="6" t="s">
        <v>298</v>
      </c>
      <c r="I204" s="6" t="s">
        <v>34</v>
      </c>
      <c r="J204" s="6" t="s">
        <v>383</v>
      </c>
      <c r="K204" s="6" t="s">
        <v>143</v>
      </c>
      <c r="L204" s="13" t="n">
        <v>46211</v>
      </c>
      <c r="M204" s="6" t="n">
        <v>1</v>
      </c>
      <c r="N204" s="13" t="n">
        <v>46215</v>
      </c>
      <c r="O204" s="6" t="n">
        <v>1</v>
      </c>
      <c r="P204" s="6" t="s">
        <v>923</v>
      </c>
      <c r="Q204" s="8" t="n">
        <v>15500</v>
      </c>
      <c r="R204" s="6" t="s">
        <v>89</v>
      </c>
      <c r="S204" s="8" t="n">
        <f aca="false">IF(Q204="","",IF(R204="EUR",ROUND(Q204*Параметры!$B$3,0),Q204))</f>
        <v>15500</v>
      </c>
      <c r="T204" s="6" t="s">
        <v>90</v>
      </c>
      <c r="U204" s="6" t="s">
        <v>434</v>
      </c>
      <c r="V204" s="13"/>
      <c r="W204" s="6" t="n">
        <f aca="false">IF(T204="Оплачено",1,0)</f>
        <v>0</v>
      </c>
      <c r="X204" s="6" t="n">
        <f aca="false">IF(OR(T204="Не дозвонились",Y204=0),0,1)</f>
        <v>1</v>
      </c>
      <c r="Y204" s="6" t="n">
        <v>1</v>
      </c>
      <c r="Z204" s="6"/>
      <c r="AA204" s="6"/>
      <c r="AB204" s="6"/>
    </row>
    <row r="205" customFormat="false" ht="15" hidden="false" customHeight="false" outlineLevel="0" collapsed="false">
      <c r="A205" s="6" t="n">
        <v>204</v>
      </c>
      <c r="B205" s="6" t="s">
        <v>29</v>
      </c>
      <c r="C205" s="6" t="s">
        <v>924</v>
      </c>
      <c r="D205" s="13" t="n">
        <v>46210</v>
      </c>
      <c r="E205" s="6" t="n">
        <f aca="false">MONTH(D205)</f>
        <v>7</v>
      </c>
      <c r="F205" s="6" t="s">
        <v>925</v>
      </c>
      <c r="G205" s="6" t="s">
        <v>926</v>
      </c>
      <c r="H205" s="6" t="s">
        <v>141</v>
      </c>
      <c r="I205" s="6" t="s">
        <v>36</v>
      </c>
      <c r="J205" s="6" t="s">
        <v>409</v>
      </c>
      <c r="K205" s="6" t="s">
        <v>927</v>
      </c>
      <c r="L205" s="13" t="n">
        <v>46212</v>
      </c>
      <c r="M205" s="6" t="n">
        <v>1</v>
      </c>
      <c r="N205" s="13" t="n">
        <v>46218</v>
      </c>
      <c r="O205" s="6" t="n">
        <v>1</v>
      </c>
      <c r="P205" s="6" t="s">
        <v>928</v>
      </c>
      <c r="Q205" s="8" t="n">
        <v>4300</v>
      </c>
      <c r="R205" s="6" t="s">
        <v>135</v>
      </c>
      <c r="S205" s="8" t="n">
        <f aca="false">IF(Q205="","",IF(R205="EUR",ROUND(Q205*Параметры!$B$3,0),Q205))</f>
        <v>86600</v>
      </c>
      <c r="T205" s="6" t="s">
        <v>15</v>
      </c>
      <c r="U205" s="6" t="s">
        <v>616</v>
      </c>
      <c r="V205" s="13" t="n">
        <v>46231</v>
      </c>
      <c r="W205" s="6" t="n">
        <f aca="false">IF(T205="Оплачено",1,0)</f>
        <v>1</v>
      </c>
      <c r="X205" s="6" t="n">
        <f aca="false">IF(OR(T205="Не дозвонились",Y205=0),0,1)</f>
        <v>1</v>
      </c>
      <c r="Y205" s="6" t="n">
        <v>1</v>
      </c>
      <c r="Z205" s="6"/>
      <c r="AA205" s="6" t="s">
        <v>929</v>
      </c>
      <c r="AB205" s="6"/>
    </row>
    <row r="206" customFormat="false" ht="15" hidden="false" customHeight="false" outlineLevel="0" collapsed="false">
      <c r="A206" s="6" t="n">
        <v>205</v>
      </c>
      <c r="B206" s="6" t="s">
        <v>30</v>
      </c>
      <c r="C206" s="6" t="s">
        <v>930</v>
      </c>
      <c r="D206" s="13" t="n">
        <v>46210</v>
      </c>
      <c r="E206" s="6" t="n">
        <f aca="false">MONTH(D206)</f>
        <v>7</v>
      </c>
      <c r="F206" s="6" t="s">
        <v>931</v>
      </c>
      <c r="G206" s="6" t="s">
        <v>932</v>
      </c>
      <c r="H206" s="6" t="s">
        <v>147</v>
      </c>
      <c r="I206" s="6" t="s">
        <v>34</v>
      </c>
      <c r="J206" s="6" t="s">
        <v>132</v>
      </c>
      <c r="K206" s="6" t="s">
        <v>366</v>
      </c>
      <c r="L206" s="13"/>
      <c r="M206" s="6" t="n">
        <v>0</v>
      </c>
      <c r="N206" s="13"/>
      <c r="O206" s="6" t="n">
        <v>0</v>
      </c>
      <c r="P206" s="6"/>
      <c r="Q206" s="8"/>
      <c r="R206" s="6"/>
      <c r="S206" s="8" t="str">
        <f aca="false">IF(Q206="","",IF(R206="EUR",ROUND(Q206*Параметры!$B$3,0),Q206))</f>
        <v/>
      </c>
      <c r="T206" s="6" t="s">
        <v>150</v>
      </c>
      <c r="U206" s="6" t="s">
        <v>151</v>
      </c>
      <c r="V206" s="13"/>
      <c r="W206" s="6" t="n">
        <f aca="false">IF(T206="Оплачено",1,0)</f>
        <v>0</v>
      </c>
      <c r="X206" s="6" t="n">
        <f aca="false">IF(OR(T206="Не дозвонились",Y206=0),0,1)</f>
        <v>1</v>
      </c>
      <c r="Y206" s="6" t="n">
        <v>1</v>
      </c>
      <c r="Z206" s="6"/>
      <c r="AA206" s="6" t="s">
        <v>933</v>
      </c>
      <c r="AB206" s="6" t="s">
        <v>180</v>
      </c>
    </row>
    <row r="207" customFormat="false" ht="15" hidden="false" customHeight="false" outlineLevel="0" collapsed="false">
      <c r="A207" s="14" t="n">
        <v>206</v>
      </c>
      <c r="B207" s="14" t="s">
        <v>30</v>
      </c>
      <c r="C207" s="14" t="s">
        <v>934</v>
      </c>
      <c r="D207" s="15" t="n">
        <v>46210</v>
      </c>
      <c r="E207" s="14" t="n">
        <f aca="false">MONTH(D207)</f>
        <v>7</v>
      </c>
      <c r="F207" s="14" t="s">
        <v>931</v>
      </c>
      <c r="G207" s="14" t="s">
        <v>932</v>
      </c>
      <c r="H207" s="14" t="s">
        <v>147</v>
      </c>
      <c r="I207" s="14" t="s">
        <v>34</v>
      </c>
      <c r="J207" s="14" t="s">
        <v>132</v>
      </c>
      <c r="K207" s="14" t="s">
        <v>366</v>
      </c>
      <c r="L207" s="15"/>
      <c r="M207" s="14" t="n">
        <v>0</v>
      </c>
      <c r="N207" s="15"/>
      <c r="O207" s="14" t="n">
        <v>0</v>
      </c>
      <c r="P207" s="14"/>
      <c r="Q207" s="16"/>
      <c r="R207" s="14"/>
      <c r="S207" s="16" t="str">
        <f aca="false">IF(Q207="","",IF(R207="EUR",ROUND(Q207*Параметры!$B$3,0),Q207))</f>
        <v/>
      </c>
      <c r="T207" s="14" t="s">
        <v>150</v>
      </c>
      <c r="U207" s="14" t="s">
        <v>151</v>
      </c>
      <c r="V207" s="15"/>
      <c r="W207" s="14" t="n">
        <f aca="false">IF(T207="Оплачено",1,0)</f>
        <v>0</v>
      </c>
      <c r="X207" s="14" t="n">
        <f aca="false">IF(OR(T207="Не дозвонились",Y207=0),0,1)</f>
        <v>0</v>
      </c>
      <c r="Y207" s="14" t="n">
        <v>0</v>
      </c>
      <c r="Z207" s="14" t="s">
        <v>935</v>
      </c>
      <c r="AA207" s="14"/>
      <c r="AB207" s="14" t="s">
        <v>180</v>
      </c>
    </row>
    <row r="208" customFormat="false" ht="15" hidden="false" customHeight="false" outlineLevel="0" collapsed="false">
      <c r="A208" s="6" t="n">
        <v>207</v>
      </c>
      <c r="B208" s="6" t="s">
        <v>28</v>
      </c>
      <c r="C208" s="6" t="s">
        <v>936</v>
      </c>
      <c r="D208" s="13" t="n">
        <v>46211</v>
      </c>
      <c r="E208" s="6" t="n">
        <f aca="false">MONTH(D208)</f>
        <v>7</v>
      </c>
      <c r="F208" s="6" t="s">
        <v>937</v>
      </c>
      <c r="G208" s="6" t="s">
        <v>938</v>
      </c>
      <c r="H208" s="6" t="s">
        <v>96</v>
      </c>
      <c r="I208" s="6" t="s">
        <v>34</v>
      </c>
      <c r="J208" s="6" t="s">
        <v>34</v>
      </c>
      <c r="K208" s="6" t="s">
        <v>98</v>
      </c>
      <c r="L208" s="13" t="n">
        <v>46212</v>
      </c>
      <c r="M208" s="6" t="n">
        <v>1</v>
      </c>
      <c r="N208" s="13" t="n">
        <v>46213</v>
      </c>
      <c r="O208" s="6" t="n">
        <v>1</v>
      </c>
      <c r="P208" s="6" t="s">
        <v>939</v>
      </c>
      <c r="Q208" s="8" t="n">
        <v>111200</v>
      </c>
      <c r="R208" s="6" t="s">
        <v>89</v>
      </c>
      <c r="S208" s="8" t="n">
        <f aca="false">IF(Q208="","",IF(R208="EUR",ROUND(Q208*Параметры!$B$3,0),Q208))</f>
        <v>111200</v>
      </c>
      <c r="T208" s="6" t="s">
        <v>90</v>
      </c>
      <c r="U208" s="6" t="s">
        <v>90</v>
      </c>
      <c r="V208" s="13"/>
      <c r="W208" s="6" t="n">
        <f aca="false">IF(T208="Оплачено",1,0)</f>
        <v>0</v>
      </c>
      <c r="X208" s="6" t="n">
        <f aca="false">IF(OR(T208="Не дозвонились",Y208=0),0,1)</f>
        <v>1</v>
      </c>
      <c r="Y208" s="6" t="n">
        <v>1</v>
      </c>
      <c r="Z208" s="6"/>
      <c r="AA208" s="6"/>
      <c r="AB208" s="6" t="s">
        <v>410</v>
      </c>
    </row>
    <row r="209" customFormat="false" ht="15" hidden="false" customHeight="false" outlineLevel="0" collapsed="false">
      <c r="A209" s="6" t="n">
        <v>208</v>
      </c>
      <c r="B209" s="6" t="s">
        <v>28</v>
      </c>
      <c r="C209" s="6" t="s">
        <v>940</v>
      </c>
      <c r="D209" s="13" t="n">
        <v>46211</v>
      </c>
      <c r="E209" s="6" t="n">
        <f aca="false">MONTH(D209)</f>
        <v>7</v>
      </c>
      <c r="F209" s="6" t="s">
        <v>941</v>
      </c>
      <c r="G209" s="6" t="s">
        <v>942</v>
      </c>
      <c r="H209" s="6" t="s">
        <v>103</v>
      </c>
      <c r="I209" s="6" t="s">
        <v>34</v>
      </c>
      <c r="J209" s="6" t="s">
        <v>97</v>
      </c>
      <c r="K209" s="6" t="s">
        <v>202</v>
      </c>
      <c r="L209" s="13"/>
      <c r="M209" s="6" t="n">
        <v>0</v>
      </c>
      <c r="N209" s="13"/>
      <c r="O209" s="6" t="n">
        <v>0</v>
      </c>
      <c r="P209" s="6"/>
      <c r="Q209" s="8"/>
      <c r="R209" s="6"/>
      <c r="S209" s="8" t="str">
        <f aca="false">IF(Q209="","",IF(R209="EUR",ROUND(Q209*Параметры!$B$3,0),Q209))</f>
        <v/>
      </c>
      <c r="T209" s="6" t="s">
        <v>71</v>
      </c>
      <c r="U209" s="6" t="s">
        <v>71</v>
      </c>
      <c r="V209" s="13"/>
      <c r="W209" s="6" t="n">
        <f aca="false">IF(T209="Оплачено",1,0)</f>
        <v>0</v>
      </c>
      <c r="X209" s="6" t="n">
        <f aca="false">IF(OR(T209="Не дозвонились",Y209=0),0,1)</f>
        <v>1</v>
      </c>
      <c r="Y209" s="6" t="n">
        <v>1</v>
      </c>
      <c r="Z209" s="6"/>
      <c r="AA209" s="6" t="s">
        <v>943</v>
      </c>
      <c r="AB209" s="6" t="s">
        <v>226</v>
      </c>
    </row>
    <row r="210" customFormat="false" ht="15" hidden="false" customHeight="false" outlineLevel="0" collapsed="false">
      <c r="A210" s="6" t="n">
        <v>209</v>
      </c>
      <c r="B210" s="6" t="s">
        <v>28</v>
      </c>
      <c r="C210" s="6" t="s">
        <v>944</v>
      </c>
      <c r="D210" s="13" t="n">
        <v>46211</v>
      </c>
      <c r="E210" s="6" t="n">
        <f aca="false">MONTH(D210)</f>
        <v>7</v>
      </c>
      <c r="F210" s="6" t="s">
        <v>945</v>
      </c>
      <c r="G210" s="6" t="s">
        <v>946</v>
      </c>
      <c r="H210" s="6" t="s">
        <v>103</v>
      </c>
      <c r="I210" s="6" t="s">
        <v>38</v>
      </c>
      <c r="J210" s="6" t="s">
        <v>38</v>
      </c>
      <c r="K210" s="6" t="s">
        <v>98</v>
      </c>
      <c r="L210" s="13"/>
      <c r="M210" s="6" t="n">
        <v>0</v>
      </c>
      <c r="N210" s="13"/>
      <c r="O210" s="6" t="n">
        <v>0</v>
      </c>
      <c r="P210" s="6"/>
      <c r="Q210" s="8"/>
      <c r="R210" s="6"/>
      <c r="S210" s="8" t="str">
        <f aca="false">IF(Q210="","",IF(R210="EUR",ROUND(Q210*Параметры!$B$3,0),Q210))</f>
        <v/>
      </c>
      <c r="T210" s="6" t="s">
        <v>71</v>
      </c>
      <c r="U210" s="6" t="s">
        <v>71</v>
      </c>
      <c r="V210" s="13"/>
      <c r="W210" s="6" t="n">
        <f aca="false">IF(T210="Оплачено",1,0)</f>
        <v>0</v>
      </c>
      <c r="X210" s="6" t="n">
        <f aca="false">IF(OR(T210="Не дозвонились",Y210=0),0,1)</f>
        <v>1</v>
      </c>
      <c r="Y210" s="6" t="n">
        <v>1</v>
      </c>
      <c r="Z210" s="6"/>
      <c r="AA210" s="6"/>
      <c r="AB210" s="6"/>
    </row>
    <row r="211" customFormat="false" ht="15" hidden="false" customHeight="false" outlineLevel="0" collapsed="false">
      <c r="A211" s="14" t="n">
        <v>210</v>
      </c>
      <c r="B211" s="14" t="s">
        <v>28</v>
      </c>
      <c r="C211" s="14" t="s">
        <v>947</v>
      </c>
      <c r="D211" s="15" t="n">
        <v>46211</v>
      </c>
      <c r="E211" s="14" t="n">
        <f aca="false">MONTH(D211)</f>
        <v>7</v>
      </c>
      <c r="F211" s="14" t="s">
        <v>941</v>
      </c>
      <c r="G211" s="14" t="s">
        <v>942</v>
      </c>
      <c r="H211" s="14" t="s">
        <v>103</v>
      </c>
      <c r="I211" s="14" t="s">
        <v>34</v>
      </c>
      <c r="J211" s="14" t="s">
        <v>97</v>
      </c>
      <c r="K211" s="14" t="s">
        <v>202</v>
      </c>
      <c r="L211" s="15"/>
      <c r="M211" s="14" t="n">
        <v>0</v>
      </c>
      <c r="N211" s="15"/>
      <c r="O211" s="14" t="n">
        <v>0</v>
      </c>
      <c r="P211" s="14"/>
      <c r="Q211" s="16"/>
      <c r="R211" s="14"/>
      <c r="S211" s="16" t="str">
        <f aca="false">IF(Q211="","",IF(R211="EUR",ROUND(Q211*Параметры!$B$3,0),Q211))</f>
        <v/>
      </c>
      <c r="T211" s="14" t="s">
        <v>71</v>
      </c>
      <c r="U211" s="14" t="s">
        <v>71</v>
      </c>
      <c r="V211" s="15"/>
      <c r="W211" s="14" t="n">
        <f aca="false">IF(T211="Оплачено",1,0)</f>
        <v>0</v>
      </c>
      <c r="X211" s="14" t="n">
        <f aca="false">IF(OR(T211="Не дозвонились",Y211=0),0,1)</f>
        <v>0</v>
      </c>
      <c r="Y211" s="14" t="n">
        <v>0</v>
      </c>
      <c r="Z211" s="14" t="s">
        <v>948</v>
      </c>
      <c r="AA211" s="14"/>
      <c r="AB211" s="14" t="s">
        <v>226</v>
      </c>
    </row>
    <row r="212" customFormat="false" ht="15" hidden="false" customHeight="false" outlineLevel="0" collapsed="false">
      <c r="A212" s="6" t="n">
        <v>211</v>
      </c>
      <c r="B212" s="6" t="s">
        <v>29</v>
      </c>
      <c r="C212" s="6" t="s">
        <v>949</v>
      </c>
      <c r="D212" s="13" t="n">
        <v>46211</v>
      </c>
      <c r="E212" s="6" t="n">
        <f aca="false">MONTH(D212)</f>
        <v>7</v>
      </c>
      <c r="F212" s="6" t="s">
        <v>950</v>
      </c>
      <c r="G212" s="6" t="s">
        <v>951</v>
      </c>
      <c r="H212" s="6" t="s">
        <v>114</v>
      </c>
      <c r="I212" s="6" t="s">
        <v>34</v>
      </c>
      <c r="J212" s="6" t="s">
        <v>383</v>
      </c>
      <c r="K212" s="6" t="s">
        <v>401</v>
      </c>
      <c r="L212" s="13" t="n">
        <v>46217</v>
      </c>
      <c r="M212" s="6" t="n">
        <v>1</v>
      </c>
      <c r="N212" s="13"/>
      <c r="O212" s="6" t="n">
        <v>0</v>
      </c>
      <c r="P212" s="6"/>
      <c r="Q212" s="8"/>
      <c r="R212" s="6"/>
      <c r="S212" s="8" t="str">
        <f aca="false">IF(Q212="","",IF(R212="EUR",ROUND(Q212*Параметры!$B$3,0),Q212))</f>
        <v/>
      </c>
      <c r="T212" s="6" t="s">
        <v>71</v>
      </c>
      <c r="U212" s="6" t="s">
        <v>72</v>
      </c>
      <c r="V212" s="13"/>
      <c r="W212" s="6" t="n">
        <f aca="false">IF(T212="Оплачено",1,0)</f>
        <v>0</v>
      </c>
      <c r="X212" s="6" t="n">
        <f aca="false">IF(OR(T212="Не дозвонились",Y212=0),0,1)</f>
        <v>1</v>
      </c>
      <c r="Y212" s="6" t="n">
        <v>1</v>
      </c>
      <c r="Z212" s="6"/>
      <c r="AA212" s="6"/>
      <c r="AB212" s="6" t="s">
        <v>73</v>
      </c>
    </row>
    <row r="213" customFormat="false" ht="15" hidden="false" customHeight="false" outlineLevel="0" collapsed="false">
      <c r="A213" s="6" t="n">
        <v>212</v>
      </c>
      <c r="B213" s="6" t="s">
        <v>28</v>
      </c>
      <c r="C213" s="6" t="s">
        <v>952</v>
      </c>
      <c r="D213" s="13" t="n">
        <v>46212</v>
      </c>
      <c r="E213" s="6" t="n">
        <f aca="false">MONTH(D213)</f>
        <v>7</v>
      </c>
      <c r="F213" s="6" t="s">
        <v>953</v>
      </c>
      <c r="G213" s="6" t="s">
        <v>954</v>
      </c>
      <c r="H213" s="6" t="s">
        <v>672</v>
      </c>
      <c r="I213" s="6" t="s">
        <v>34</v>
      </c>
      <c r="J213" s="6" t="s">
        <v>97</v>
      </c>
      <c r="K213" s="6" t="s">
        <v>287</v>
      </c>
      <c r="L213" s="13" t="n">
        <v>46217</v>
      </c>
      <c r="M213" s="6" t="n">
        <v>1</v>
      </c>
      <c r="N213" s="13" t="n">
        <v>46218</v>
      </c>
      <c r="O213" s="6" t="n">
        <v>1</v>
      </c>
      <c r="P213" s="6" t="s">
        <v>955</v>
      </c>
      <c r="Q213" s="8" t="n">
        <v>11900</v>
      </c>
      <c r="R213" s="6" t="s">
        <v>89</v>
      </c>
      <c r="S213" s="8" t="n">
        <f aca="false">IF(Q213="","",IF(R213="EUR",ROUND(Q213*Параметры!$B$3,0),Q213))</f>
        <v>11900</v>
      </c>
      <c r="T213" s="6" t="s">
        <v>956</v>
      </c>
      <c r="U213" s="6" t="s">
        <v>956</v>
      </c>
      <c r="V213" s="13"/>
      <c r="W213" s="6" t="n">
        <f aca="false">IF(T213="Оплачено",1,0)</f>
        <v>0</v>
      </c>
      <c r="X213" s="6" t="n">
        <f aca="false">IF(OR(T213="Не дозвонились",Y213=0),0,1)</f>
        <v>1</v>
      </c>
      <c r="Y213" s="6" t="n">
        <v>1</v>
      </c>
      <c r="Z213" s="6"/>
      <c r="AA213" s="6" t="s">
        <v>957</v>
      </c>
      <c r="AB213" s="6" t="s">
        <v>124</v>
      </c>
    </row>
    <row r="214" customFormat="false" ht="15" hidden="false" customHeight="false" outlineLevel="0" collapsed="false">
      <c r="A214" s="6" t="n">
        <v>213</v>
      </c>
      <c r="B214" s="6" t="s">
        <v>29</v>
      </c>
      <c r="C214" s="6" t="s">
        <v>958</v>
      </c>
      <c r="D214" s="13" t="n">
        <v>46212</v>
      </c>
      <c r="E214" s="6" t="n">
        <f aca="false">MONTH(D214)</f>
        <v>7</v>
      </c>
      <c r="F214" s="6" t="s">
        <v>959</v>
      </c>
      <c r="G214" s="6" t="s">
        <v>960</v>
      </c>
      <c r="H214" s="6" t="s">
        <v>266</v>
      </c>
      <c r="I214" s="6" t="s">
        <v>38</v>
      </c>
      <c r="J214" s="6" t="s">
        <v>174</v>
      </c>
      <c r="K214" s="6" t="s">
        <v>128</v>
      </c>
      <c r="L214" s="13"/>
      <c r="M214" s="6" t="n">
        <v>0</v>
      </c>
      <c r="N214" s="13"/>
      <c r="O214" s="6" t="n">
        <v>0</v>
      </c>
      <c r="P214" s="6"/>
      <c r="Q214" s="8"/>
      <c r="R214" s="6"/>
      <c r="S214" s="8" t="str">
        <f aca="false">IF(Q214="","",IF(R214="EUR",ROUND(Q214*Параметры!$B$3,0),Q214))</f>
        <v/>
      </c>
      <c r="T214" s="6" t="s">
        <v>71</v>
      </c>
      <c r="U214" s="6" t="s">
        <v>301</v>
      </c>
      <c r="V214" s="13"/>
      <c r="W214" s="6" t="n">
        <f aca="false">IF(T214="Оплачено",1,0)</f>
        <v>0</v>
      </c>
      <c r="X214" s="6" t="n">
        <f aca="false">IF(OR(T214="Не дозвонились",Y214=0),0,1)</f>
        <v>1</v>
      </c>
      <c r="Y214" s="6" t="n">
        <v>1</v>
      </c>
      <c r="Z214" s="6"/>
      <c r="AA214" s="6"/>
      <c r="AB214" s="6"/>
    </row>
    <row r="215" customFormat="false" ht="15" hidden="false" customHeight="false" outlineLevel="0" collapsed="false">
      <c r="A215" s="6" t="n">
        <v>214</v>
      </c>
      <c r="B215" s="6" t="s">
        <v>30</v>
      </c>
      <c r="C215" s="6" t="s">
        <v>961</v>
      </c>
      <c r="D215" s="13" t="n">
        <v>46212</v>
      </c>
      <c r="E215" s="6" t="n">
        <f aca="false">MONTH(D215)</f>
        <v>7</v>
      </c>
      <c r="F215" s="6" t="s">
        <v>440</v>
      </c>
      <c r="G215" s="6" t="s">
        <v>962</v>
      </c>
      <c r="H215" s="6" t="s">
        <v>147</v>
      </c>
      <c r="I215" s="6" t="s">
        <v>35</v>
      </c>
      <c r="J215" s="6" t="s">
        <v>148</v>
      </c>
      <c r="K215" s="6" t="s">
        <v>536</v>
      </c>
      <c r="L215" s="13"/>
      <c r="M215" s="6" t="n">
        <v>0</v>
      </c>
      <c r="N215" s="13"/>
      <c r="O215" s="6" t="n">
        <v>0</v>
      </c>
      <c r="P215" s="6"/>
      <c r="Q215" s="8"/>
      <c r="R215" s="6"/>
      <c r="S215" s="8" t="str">
        <f aca="false">IF(Q215="","",IF(R215="EUR",ROUND(Q215*Параметры!$B$3,0),Q215))</f>
        <v/>
      </c>
      <c r="T215" s="6" t="s">
        <v>150</v>
      </c>
      <c r="U215" s="6" t="s">
        <v>151</v>
      </c>
      <c r="V215" s="13"/>
      <c r="W215" s="6" t="n">
        <f aca="false">IF(T215="Оплачено",1,0)</f>
        <v>0</v>
      </c>
      <c r="X215" s="6" t="n">
        <f aca="false">IF(OR(T215="Не дозвонились",Y215=0),0,1)</f>
        <v>1</v>
      </c>
      <c r="Y215" s="6" t="n">
        <v>1</v>
      </c>
      <c r="Z215" s="6"/>
      <c r="AA215" s="6"/>
      <c r="AB215" s="6" t="s">
        <v>204</v>
      </c>
    </row>
    <row r="216" customFormat="false" ht="15" hidden="false" customHeight="false" outlineLevel="0" collapsed="false">
      <c r="A216" s="6" t="n">
        <v>215</v>
      </c>
      <c r="B216" s="6" t="s">
        <v>28</v>
      </c>
      <c r="C216" s="6" t="s">
        <v>963</v>
      </c>
      <c r="D216" s="13" t="n">
        <v>46213</v>
      </c>
      <c r="E216" s="6" t="n">
        <f aca="false">MONTH(D216)</f>
        <v>7</v>
      </c>
      <c r="F216" s="6" t="s">
        <v>964</v>
      </c>
      <c r="G216" s="6" t="s">
        <v>965</v>
      </c>
      <c r="H216" s="6" t="s">
        <v>324</v>
      </c>
      <c r="I216" s="6" t="s">
        <v>36</v>
      </c>
      <c r="J216" s="6" t="s">
        <v>253</v>
      </c>
      <c r="K216" s="6" t="s">
        <v>858</v>
      </c>
      <c r="L216" s="13" t="n">
        <v>46219</v>
      </c>
      <c r="M216" s="6" t="n">
        <v>1</v>
      </c>
      <c r="N216" s="13" t="n">
        <v>46220</v>
      </c>
      <c r="O216" s="6" t="n">
        <v>1</v>
      </c>
      <c r="P216" s="6" t="s">
        <v>966</v>
      </c>
      <c r="Q216" s="8" t="n">
        <v>147000</v>
      </c>
      <c r="R216" s="6" t="s">
        <v>89</v>
      </c>
      <c r="S216" s="8" t="n">
        <f aca="false">IF(Q216="","",IF(R216="EUR",ROUND(Q216*Параметры!$B$3,0),Q216))</f>
        <v>147000</v>
      </c>
      <c r="T216" s="6" t="s">
        <v>71</v>
      </c>
      <c r="U216" s="6" t="s">
        <v>71</v>
      </c>
      <c r="V216" s="13"/>
      <c r="W216" s="6" t="n">
        <f aca="false">IF(T216="Оплачено",1,0)</f>
        <v>0</v>
      </c>
      <c r="X216" s="6" t="n">
        <f aca="false">IF(OR(T216="Не дозвонились",Y216=0),0,1)</f>
        <v>1</v>
      </c>
      <c r="Y216" s="6" t="n">
        <v>1</v>
      </c>
      <c r="Z216" s="6"/>
      <c r="AA216" s="6"/>
      <c r="AB216" s="6" t="s">
        <v>235</v>
      </c>
    </row>
    <row r="217" customFormat="false" ht="15" hidden="false" customHeight="false" outlineLevel="0" collapsed="false">
      <c r="A217" s="6" t="n">
        <v>216</v>
      </c>
      <c r="B217" s="6" t="s">
        <v>28</v>
      </c>
      <c r="C217" s="6" t="s">
        <v>967</v>
      </c>
      <c r="D217" s="13" t="n">
        <v>46213</v>
      </c>
      <c r="E217" s="6" t="n">
        <f aca="false">MONTH(D217)</f>
        <v>7</v>
      </c>
      <c r="F217" s="6" t="s">
        <v>968</v>
      </c>
      <c r="G217" s="6" t="s">
        <v>969</v>
      </c>
      <c r="H217" s="6" t="s">
        <v>155</v>
      </c>
      <c r="I217" s="6" t="s">
        <v>36</v>
      </c>
      <c r="J217" s="6" t="s">
        <v>36</v>
      </c>
      <c r="K217" s="6" t="s">
        <v>98</v>
      </c>
      <c r="L217" s="13" t="n">
        <v>46215</v>
      </c>
      <c r="M217" s="6" t="n">
        <v>1</v>
      </c>
      <c r="N217" s="13" t="n">
        <v>46215</v>
      </c>
      <c r="O217" s="6" t="n">
        <v>1</v>
      </c>
      <c r="P217" s="6" t="s">
        <v>970</v>
      </c>
      <c r="Q217" s="8" t="n">
        <v>69300</v>
      </c>
      <c r="R217" s="6" t="s">
        <v>89</v>
      </c>
      <c r="S217" s="8" t="n">
        <f aca="false">IF(Q217="","",IF(R217="EUR",ROUND(Q217*Параметры!$B$3,0),Q217))</f>
        <v>69300</v>
      </c>
      <c r="T217" s="6" t="s">
        <v>71</v>
      </c>
      <c r="U217" s="6" t="s">
        <v>71</v>
      </c>
      <c r="V217" s="13"/>
      <c r="W217" s="6" t="n">
        <f aca="false">IF(T217="Оплачено",1,0)</f>
        <v>0</v>
      </c>
      <c r="X217" s="6" t="n">
        <f aca="false">IF(OR(T217="Не дозвонились",Y217=0),0,1)</f>
        <v>1</v>
      </c>
      <c r="Y217" s="6" t="n">
        <v>1</v>
      </c>
      <c r="Z217" s="6"/>
      <c r="AA217" s="6"/>
      <c r="AB217" s="6" t="s">
        <v>515</v>
      </c>
    </row>
    <row r="218" customFormat="false" ht="15" hidden="false" customHeight="false" outlineLevel="0" collapsed="false">
      <c r="A218" s="6" t="n">
        <v>217</v>
      </c>
      <c r="B218" s="6" t="s">
        <v>28</v>
      </c>
      <c r="C218" s="6" t="s">
        <v>971</v>
      </c>
      <c r="D218" s="13" t="n">
        <v>46213</v>
      </c>
      <c r="E218" s="6" t="n">
        <f aca="false">MONTH(D218)</f>
        <v>7</v>
      </c>
      <c r="F218" s="6" t="s">
        <v>972</v>
      </c>
      <c r="G218" s="6" t="s">
        <v>973</v>
      </c>
      <c r="H218" s="6" t="s">
        <v>309</v>
      </c>
      <c r="I218" s="6" t="s">
        <v>34</v>
      </c>
      <c r="J218" s="6" t="s">
        <v>34</v>
      </c>
      <c r="K218" s="6" t="s">
        <v>156</v>
      </c>
      <c r="L218" s="13"/>
      <c r="M218" s="6" t="n">
        <v>0</v>
      </c>
      <c r="N218" s="13"/>
      <c r="O218" s="6" t="n">
        <v>0</v>
      </c>
      <c r="P218" s="6"/>
      <c r="Q218" s="8"/>
      <c r="R218" s="6"/>
      <c r="S218" s="8" t="str">
        <f aca="false">IF(Q218="","",IF(R218="EUR",ROUND(Q218*Параметры!$B$3,0),Q218))</f>
        <v/>
      </c>
      <c r="T218" s="6" t="s">
        <v>71</v>
      </c>
      <c r="U218" s="6" t="s">
        <v>71</v>
      </c>
      <c r="V218" s="13"/>
      <c r="W218" s="6" t="n">
        <f aca="false">IF(T218="Оплачено",1,0)</f>
        <v>0</v>
      </c>
      <c r="X218" s="6" t="n">
        <f aca="false">IF(OR(T218="Не дозвонились",Y218=0),0,1)</f>
        <v>1</v>
      </c>
      <c r="Y218" s="6" t="n">
        <v>1</v>
      </c>
      <c r="Z218" s="6"/>
      <c r="AA218" s="6"/>
      <c r="AB218" s="6" t="s">
        <v>519</v>
      </c>
    </row>
    <row r="219" customFormat="false" ht="15" hidden="false" customHeight="false" outlineLevel="0" collapsed="false">
      <c r="A219" s="6" t="n">
        <v>218</v>
      </c>
      <c r="B219" s="6" t="s">
        <v>29</v>
      </c>
      <c r="C219" s="6" t="s">
        <v>974</v>
      </c>
      <c r="D219" s="13" t="n">
        <v>46213</v>
      </c>
      <c r="E219" s="6" t="n">
        <f aca="false">MONTH(D219)</f>
        <v>7</v>
      </c>
      <c r="F219" s="6" t="s">
        <v>975</v>
      </c>
      <c r="G219" s="6" t="s">
        <v>976</v>
      </c>
      <c r="H219" s="6" t="s">
        <v>114</v>
      </c>
      <c r="I219" s="6" t="s">
        <v>34</v>
      </c>
      <c r="J219" s="6" t="s">
        <v>34</v>
      </c>
      <c r="K219" s="6" t="s">
        <v>128</v>
      </c>
      <c r="L219" s="13"/>
      <c r="M219" s="6" t="n">
        <v>0</v>
      </c>
      <c r="N219" s="13"/>
      <c r="O219" s="6" t="n">
        <v>0</v>
      </c>
      <c r="P219" s="6"/>
      <c r="Q219" s="8"/>
      <c r="R219" s="6"/>
      <c r="S219" s="8" t="str">
        <f aca="false">IF(Q219="","",IF(R219="EUR",ROUND(Q219*Параметры!$B$3,0),Q219))</f>
        <v/>
      </c>
      <c r="T219" s="6" t="s">
        <v>80</v>
      </c>
      <c r="U219" s="6" t="s">
        <v>117</v>
      </c>
      <c r="V219" s="13"/>
      <c r="W219" s="6" t="n">
        <f aca="false">IF(T219="Оплачено",1,0)</f>
        <v>0</v>
      </c>
      <c r="X219" s="6" t="n">
        <f aca="false">IF(OR(T219="Не дозвонились",Y219=0),0,1)</f>
        <v>0</v>
      </c>
      <c r="Y219" s="6" t="n">
        <v>1</v>
      </c>
      <c r="Z219" s="6"/>
      <c r="AA219" s="6"/>
      <c r="AB219" s="6" t="s">
        <v>519</v>
      </c>
    </row>
    <row r="220" customFormat="false" ht="15" hidden="false" customHeight="false" outlineLevel="0" collapsed="false">
      <c r="A220" s="6" t="n">
        <v>219</v>
      </c>
      <c r="B220" s="6" t="s">
        <v>30</v>
      </c>
      <c r="C220" s="6" t="s">
        <v>977</v>
      </c>
      <c r="D220" s="13" t="n">
        <v>46213</v>
      </c>
      <c r="E220" s="6" t="n">
        <f aca="false">MONTH(D220)</f>
        <v>7</v>
      </c>
      <c r="F220" s="6" t="s">
        <v>978</v>
      </c>
      <c r="G220" s="6" t="s">
        <v>979</v>
      </c>
      <c r="H220" s="6" t="s">
        <v>557</v>
      </c>
      <c r="I220" s="6" t="s">
        <v>35</v>
      </c>
      <c r="J220" s="6" t="s">
        <v>148</v>
      </c>
      <c r="K220" s="6" t="s">
        <v>79</v>
      </c>
      <c r="L220" s="13"/>
      <c r="M220" s="6" t="n">
        <v>0</v>
      </c>
      <c r="N220" s="13"/>
      <c r="O220" s="6" t="n">
        <v>0</v>
      </c>
      <c r="P220" s="6"/>
      <c r="Q220" s="8"/>
      <c r="R220" s="6"/>
      <c r="S220" s="8" t="str">
        <f aca="false">IF(Q220="","",IF(R220="EUR",ROUND(Q220*Параметры!$B$3,0),Q220))</f>
        <v/>
      </c>
      <c r="T220" s="6" t="s">
        <v>71</v>
      </c>
      <c r="U220" s="6" t="s">
        <v>72</v>
      </c>
      <c r="V220" s="13"/>
      <c r="W220" s="6" t="n">
        <f aca="false">IF(T220="Оплачено",1,0)</f>
        <v>0</v>
      </c>
      <c r="X220" s="6" t="n">
        <f aca="false">IF(OR(T220="Не дозвонились",Y220=0),0,1)</f>
        <v>1</v>
      </c>
      <c r="Y220" s="6" t="n">
        <v>1</v>
      </c>
      <c r="Z220" s="6"/>
      <c r="AA220" s="6"/>
      <c r="AB220" s="6" t="s">
        <v>709</v>
      </c>
    </row>
    <row r="221" customFormat="false" ht="15" hidden="false" customHeight="false" outlineLevel="0" collapsed="false">
      <c r="A221" s="14" t="n">
        <v>220</v>
      </c>
      <c r="B221" s="14" t="s">
        <v>30</v>
      </c>
      <c r="C221" s="14" t="s">
        <v>980</v>
      </c>
      <c r="D221" s="15" t="n">
        <v>46213</v>
      </c>
      <c r="E221" s="14" t="n">
        <f aca="false">MONTH(D221)</f>
        <v>7</v>
      </c>
      <c r="F221" s="14" t="s">
        <v>981</v>
      </c>
      <c r="G221" s="14" t="s">
        <v>954</v>
      </c>
      <c r="H221" s="14" t="s">
        <v>672</v>
      </c>
      <c r="I221" s="14" t="s">
        <v>34</v>
      </c>
      <c r="J221" s="14" t="s">
        <v>132</v>
      </c>
      <c r="K221" s="14" t="s">
        <v>366</v>
      </c>
      <c r="L221" s="15"/>
      <c r="M221" s="14" t="n">
        <v>0</v>
      </c>
      <c r="N221" s="15"/>
      <c r="O221" s="14" t="n">
        <v>0</v>
      </c>
      <c r="P221" s="14"/>
      <c r="Q221" s="16"/>
      <c r="R221" s="14"/>
      <c r="S221" s="16" t="str">
        <f aca="false">IF(Q221="","",IF(R221="EUR",ROUND(Q221*Параметры!$B$3,0),Q221))</f>
        <v/>
      </c>
      <c r="T221" s="14" t="s">
        <v>497</v>
      </c>
      <c r="U221" s="14" t="s">
        <v>982</v>
      </c>
      <c r="V221" s="15"/>
      <c r="W221" s="14" t="n">
        <f aca="false">IF(T221="Оплачено",1,0)</f>
        <v>0</v>
      </c>
      <c r="X221" s="14" t="n">
        <f aca="false">IF(OR(T221="Не дозвонились",Y221=0),0,1)</f>
        <v>0</v>
      </c>
      <c r="Y221" s="14" t="n">
        <v>0</v>
      </c>
      <c r="Z221" s="14" t="s">
        <v>983</v>
      </c>
      <c r="AA221" s="14"/>
      <c r="AB221" s="14"/>
    </row>
    <row r="222" customFormat="false" ht="15" hidden="false" customHeight="false" outlineLevel="0" collapsed="false">
      <c r="A222" s="6" t="n">
        <v>221</v>
      </c>
      <c r="B222" s="6" t="s">
        <v>28</v>
      </c>
      <c r="C222" s="6" t="s">
        <v>984</v>
      </c>
      <c r="D222" s="13" t="n">
        <v>46214</v>
      </c>
      <c r="E222" s="6" t="n">
        <f aca="false">MONTH(D222)</f>
        <v>7</v>
      </c>
      <c r="F222" s="6" t="s">
        <v>985</v>
      </c>
      <c r="G222" s="6" t="s">
        <v>986</v>
      </c>
      <c r="H222" s="6" t="s">
        <v>96</v>
      </c>
      <c r="I222" s="6" t="s">
        <v>35</v>
      </c>
      <c r="J222" s="6" t="s">
        <v>35</v>
      </c>
      <c r="K222" s="6" t="s">
        <v>379</v>
      </c>
      <c r="L222" s="13"/>
      <c r="M222" s="6" t="n">
        <v>0</v>
      </c>
      <c r="N222" s="13"/>
      <c r="O222" s="6" t="n">
        <v>0</v>
      </c>
      <c r="P222" s="6"/>
      <c r="Q222" s="8"/>
      <c r="R222" s="6"/>
      <c r="S222" s="8" t="str">
        <f aca="false">IF(Q222="","",IF(R222="EUR",ROUND(Q222*Параметры!$B$3,0),Q222))</f>
        <v/>
      </c>
      <c r="T222" s="6" t="s">
        <v>80</v>
      </c>
      <c r="U222" s="6" t="s">
        <v>163</v>
      </c>
      <c r="V222" s="13"/>
      <c r="W222" s="6" t="n">
        <f aca="false">IF(T222="Оплачено",1,0)</f>
        <v>0</v>
      </c>
      <c r="X222" s="6" t="n">
        <f aca="false">IF(OR(T222="Не дозвонились",Y222=0),0,1)</f>
        <v>0</v>
      </c>
      <c r="Y222" s="6" t="n">
        <v>1</v>
      </c>
      <c r="Z222" s="6"/>
      <c r="AA222" s="6"/>
      <c r="AB222" s="6" t="s">
        <v>987</v>
      </c>
    </row>
    <row r="223" customFormat="false" ht="15" hidden="false" customHeight="false" outlineLevel="0" collapsed="false">
      <c r="A223" s="6" t="n">
        <v>222</v>
      </c>
      <c r="B223" s="6" t="s">
        <v>28</v>
      </c>
      <c r="C223" s="6" t="s">
        <v>988</v>
      </c>
      <c r="D223" s="13" t="n">
        <v>46214</v>
      </c>
      <c r="E223" s="6" t="n">
        <f aca="false">MONTH(D223)</f>
        <v>7</v>
      </c>
      <c r="F223" s="6" t="s">
        <v>989</v>
      </c>
      <c r="G223" s="6" t="s">
        <v>990</v>
      </c>
      <c r="H223" s="6" t="s">
        <v>161</v>
      </c>
      <c r="I223" s="6" t="s">
        <v>35</v>
      </c>
      <c r="J223" s="6" t="s">
        <v>35</v>
      </c>
      <c r="K223" s="6" t="s">
        <v>104</v>
      </c>
      <c r="L223" s="13"/>
      <c r="M223" s="6" t="n">
        <v>0</v>
      </c>
      <c r="N223" s="13"/>
      <c r="O223" s="6" t="n">
        <v>0</v>
      </c>
      <c r="P223" s="6"/>
      <c r="Q223" s="8"/>
      <c r="R223" s="6"/>
      <c r="S223" s="8" t="str">
        <f aca="false">IF(Q223="","",IF(R223="EUR",ROUND(Q223*Параметры!$B$3,0),Q223))</f>
        <v/>
      </c>
      <c r="T223" s="6" t="s">
        <v>80</v>
      </c>
      <c r="U223" s="6" t="s">
        <v>163</v>
      </c>
      <c r="V223" s="13"/>
      <c r="W223" s="6" t="n">
        <f aca="false">IF(T223="Оплачено",1,0)</f>
        <v>0</v>
      </c>
      <c r="X223" s="6" t="n">
        <f aca="false">IF(OR(T223="Не дозвонились",Y223=0),0,1)</f>
        <v>0</v>
      </c>
      <c r="Y223" s="6" t="n">
        <v>1</v>
      </c>
      <c r="Z223" s="6"/>
      <c r="AA223" s="6"/>
      <c r="AB223" s="6" t="s">
        <v>325</v>
      </c>
    </row>
    <row r="224" customFormat="false" ht="15" hidden="false" customHeight="false" outlineLevel="0" collapsed="false">
      <c r="A224" s="6" t="n">
        <v>223</v>
      </c>
      <c r="B224" s="6" t="s">
        <v>28</v>
      </c>
      <c r="C224" s="6" t="s">
        <v>991</v>
      </c>
      <c r="D224" s="13" t="n">
        <v>46214</v>
      </c>
      <c r="E224" s="6" t="n">
        <f aca="false">MONTH(D224)</f>
        <v>7</v>
      </c>
      <c r="F224" s="6" t="s">
        <v>992</v>
      </c>
      <c r="G224" s="6" t="s">
        <v>993</v>
      </c>
      <c r="H224" s="6" t="s">
        <v>197</v>
      </c>
      <c r="I224" s="6" t="s">
        <v>37</v>
      </c>
      <c r="J224" s="6" t="s">
        <v>313</v>
      </c>
      <c r="K224" s="6" t="s">
        <v>162</v>
      </c>
      <c r="L224" s="13" t="n">
        <v>46218</v>
      </c>
      <c r="M224" s="6" t="n">
        <v>1</v>
      </c>
      <c r="N224" s="13" t="n">
        <v>46219</v>
      </c>
      <c r="O224" s="6" t="n">
        <v>1</v>
      </c>
      <c r="P224" s="6" t="s">
        <v>994</v>
      </c>
      <c r="Q224" s="8" t="n">
        <v>27100</v>
      </c>
      <c r="R224" s="6" t="s">
        <v>89</v>
      </c>
      <c r="S224" s="8" t="n">
        <f aca="false">IF(Q224="","",IF(R224="EUR",ROUND(Q224*Параметры!$B$3,0),Q224))</f>
        <v>27100</v>
      </c>
      <c r="T224" s="6" t="s">
        <v>15</v>
      </c>
      <c r="U224" s="6" t="s">
        <v>15</v>
      </c>
      <c r="V224" s="13" t="n">
        <v>46232</v>
      </c>
      <c r="W224" s="6" t="n">
        <f aca="false">IF(T224="Оплачено",1,0)</f>
        <v>1</v>
      </c>
      <c r="X224" s="6" t="n">
        <f aca="false">IF(OR(T224="Не дозвонились",Y224=0),0,1)</f>
        <v>1</v>
      </c>
      <c r="Y224" s="6" t="n">
        <v>1</v>
      </c>
      <c r="Z224" s="6"/>
      <c r="AA224" s="6"/>
      <c r="AB224" s="6" t="s">
        <v>325</v>
      </c>
    </row>
    <row r="225" customFormat="false" ht="15" hidden="false" customHeight="false" outlineLevel="0" collapsed="false">
      <c r="A225" s="6" t="n">
        <v>224</v>
      </c>
      <c r="B225" s="6" t="s">
        <v>29</v>
      </c>
      <c r="C225" s="6" t="s">
        <v>995</v>
      </c>
      <c r="D225" s="13" t="n">
        <v>46214</v>
      </c>
      <c r="E225" s="6" t="n">
        <f aca="false">MONTH(D225)</f>
        <v>7</v>
      </c>
      <c r="F225" s="6" t="s">
        <v>996</v>
      </c>
      <c r="G225" s="6" t="s">
        <v>997</v>
      </c>
      <c r="H225" s="6" t="s">
        <v>387</v>
      </c>
      <c r="I225" s="6" t="s">
        <v>34</v>
      </c>
      <c r="J225" s="6" t="s">
        <v>167</v>
      </c>
      <c r="K225" s="6" t="s">
        <v>168</v>
      </c>
      <c r="L225" s="13"/>
      <c r="M225" s="6" t="n">
        <v>0</v>
      </c>
      <c r="N225" s="13"/>
      <c r="O225" s="6" t="n">
        <v>0</v>
      </c>
      <c r="P225" s="6"/>
      <c r="Q225" s="8"/>
      <c r="R225" s="6"/>
      <c r="S225" s="8" t="str">
        <f aca="false">IF(Q225="","",IF(R225="EUR",ROUND(Q225*Параметры!$B$3,0),Q225))</f>
        <v/>
      </c>
      <c r="T225" s="6" t="s">
        <v>71</v>
      </c>
      <c r="U225" s="6" t="s">
        <v>72</v>
      </c>
      <c r="V225" s="13"/>
      <c r="W225" s="6" t="n">
        <f aca="false">IF(T225="Оплачено",1,0)</f>
        <v>0</v>
      </c>
      <c r="X225" s="6" t="n">
        <f aca="false">IF(OR(T225="Не дозвонились",Y225=0),0,1)</f>
        <v>1</v>
      </c>
      <c r="Y225" s="6" t="n">
        <v>1</v>
      </c>
      <c r="Z225" s="6"/>
      <c r="AA225" s="6"/>
      <c r="AB225" s="6" t="s">
        <v>235</v>
      </c>
    </row>
    <row r="226" customFormat="false" ht="15" hidden="false" customHeight="false" outlineLevel="0" collapsed="false">
      <c r="A226" s="6" t="n">
        <v>225</v>
      </c>
      <c r="B226" s="6" t="s">
        <v>30</v>
      </c>
      <c r="C226" s="6" t="s">
        <v>998</v>
      </c>
      <c r="D226" s="13" t="n">
        <v>46214</v>
      </c>
      <c r="E226" s="6" t="n">
        <f aca="false">MONTH(D226)</f>
        <v>7</v>
      </c>
      <c r="F226" s="6" t="s">
        <v>999</v>
      </c>
      <c r="G226" s="6"/>
      <c r="H226" s="6" t="s">
        <v>191</v>
      </c>
      <c r="I226" s="6" t="s">
        <v>36</v>
      </c>
      <c r="J226" s="6" t="s">
        <v>543</v>
      </c>
      <c r="K226" s="6" t="s">
        <v>87</v>
      </c>
      <c r="L226" s="13" t="n">
        <v>46219</v>
      </c>
      <c r="M226" s="6" t="n">
        <v>1</v>
      </c>
      <c r="N226" s="13" t="n">
        <v>46227</v>
      </c>
      <c r="O226" s="6" t="n">
        <v>1</v>
      </c>
      <c r="P226" s="6" t="s">
        <v>1000</v>
      </c>
      <c r="Q226" s="8" t="n">
        <v>21700</v>
      </c>
      <c r="R226" s="6" t="s">
        <v>89</v>
      </c>
      <c r="S226" s="8" t="n">
        <f aca="false">IF(Q226="","",IF(R226="EUR",ROUND(Q226*Параметры!$B$3,0),Q226))</f>
        <v>21700</v>
      </c>
      <c r="T226" s="6" t="s">
        <v>71</v>
      </c>
      <c r="U226" s="6" t="s">
        <v>72</v>
      </c>
      <c r="V226" s="13"/>
      <c r="W226" s="6" t="n">
        <f aca="false">IF(T226="Оплачено",1,0)</f>
        <v>0</v>
      </c>
      <c r="X226" s="6" t="n">
        <f aca="false">IF(OR(T226="Не дозвонились",Y226=0),0,1)</f>
        <v>1</v>
      </c>
      <c r="Y226" s="6" t="n">
        <v>1</v>
      </c>
      <c r="Z226" s="6"/>
      <c r="AA226" s="6"/>
      <c r="AB226" s="6" t="s">
        <v>414</v>
      </c>
    </row>
    <row r="227" customFormat="false" ht="15" hidden="false" customHeight="false" outlineLevel="0" collapsed="false">
      <c r="A227" s="6" t="n">
        <v>226</v>
      </c>
      <c r="B227" s="6" t="s">
        <v>28</v>
      </c>
      <c r="C227" s="6" t="s">
        <v>1001</v>
      </c>
      <c r="D227" s="13" t="n">
        <v>46215</v>
      </c>
      <c r="E227" s="6" t="n">
        <f aca="false">MONTH(D227)</f>
        <v>7</v>
      </c>
      <c r="F227" s="6" t="s">
        <v>1002</v>
      </c>
      <c r="G227" s="6" t="s">
        <v>1003</v>
      </c>
      <c r="H227" s="6" t="s">
        <v>103</v>
      </c>
      <c r="I227" s="6" t="s">
        <v>35</v>
      </c>
      <c r="J227" s="6" t="s">
        <v>35</v>
      </c>
      <c r="K227" s="6" t="s">
        <v>379</v>
      </c>
      <c r="L227" s="13" t="n">
        <v>46216</v>
      </c>
      <c r="M227" s="6" t="n">
        <v>1</v>
      </c>
      <c r="N227" s="13" t="n">
        <v>46217</v>
      </c>
      <c r="O227" s="6" t="n">
        <v>1</v>
      </c>
      <c r="P227" s="6" t="s">
        <v>1004</v>
      </c>
      <c r="Q227" s="8" t="n">
        <v>6500</v>
      </c>
      <c r="R227" s="6" t="s">
        <v>89</v>
      </c>
      <c r="S227" s="8" t="n">
        <f aca="false">IF(Q227="","",IF(R227="EUR",ROUND(Q227*Параметры!$B$3,0),Q227))</f>
        <v>6500</v>
      </c>
      <c r="T227" s="6" t="s">
        <v>71</v>
      </c>
      <c r="U227" s="6" t="s">
        <v>71</v>
      </c>
      <c r="V227" s="13"/>
      <c r="W227" s="6" t="n">
        <f aca="false">IF(T227="Оплачено",1,0)</f>
        <v>0</v>
      </c>
      <c r="X227" s="6" t="n">
        <f aca="false">IF(OR(T227="Не дозвонились",Y227=0),0,1)</f>
        <v>1</v>
      </c>
      <c r="Y227" s="6" t="n">
        <v>1</v>
      </c>
      <c r="Z227" s="6"/>
      <c r="AA227" s="6"/>
      <c r="AB227" s="6"/>
    </row>
    <row r="228" customFormat="false" ht="15" hidden="false" customHeight="false" outlineLevel="0" collapsed="false">
      <c r="A228" s="6" t="n">
        <v>227</v>
      </c>
      <c r="B228" s="6" t="s">
        <v>30</v>
      </c>
      <c r="C228" s="6" t="s">
        <v>1005</v>
      </c>
      <c r="D228" s="13" t="n">
        <v>46215</v>
      </c>
      <c r="E228" s="6" t="n">
        <f aca="false">MONTH(D228)</f>
        <v>7</v>
      </c>
      <c r="F228" s="6" t="s">
        <v>1006</v>
      </c>
      <c r="G228" s="6"/>
      <c r="H228" s="6" t="s">
        <v>85</v>
      </c>
      <c r="I228" s="6" t="s">
        <v>34</v>
      </c>
      <c r="J228" s="6" t="s">
        <v>214</v>
      </c>
      <c r="K228" s="6" t="s">
        <v>79</v>
      </c>
      <c r="L228" s="13" t="n">
        <v>46220</v>
      </c>
      <c r="M228" s="6" t="n">
        <v>1</v>
      </c>
      <c r="N228" s="13" t="n">
        <v>46220</v>
      </c>
      <c r="O228" s="6" t="n">
        <v>1</v>
      </c>
      <c r="P228" s="6" t="s">
        <v>1007</v>
      </c>
      <c r="Q228" s="8" t="n">
        <v>25500</v>
      </c>
      <c r="R228" s="6" t="s">
        <v>89</v>
      </c>
      <c r="S228" s="8" t="n">
        <f aca="false">IF(Q228="","",IF(R228="EUR",ROUND(Q228*Параметры!$B$3,0),Q228))</f>
        <v>25500</v>
      </c>
      <c r="T228" s="6" t="s">
        <v>71</v>
      </c>
      <c r="U228" s="6" t="s">
        <v>225</v>
      </c>
      <c r="V228" s="13"/>
      <c r="W228" s="6" t="n">
        <f aca="false">IF(T228="Оплачено",1,0)</f>
        <v>0</v>
      </c>
      <c r="X228" s="6" t="n">
        <f aca="false">IF(OR(T228="Не дозвонились",Y228=0),0,1)</f>
        <v>1</v>
      </c>
      <c r="Y228" s="6" t="n">
        <v>1</v>
      </c>
      <c r="Z228" s="6"/>
      <c r="AA228" s="6"/>
      <c r="AB228" s="6" t="s">
        <v>235</v>
      </c>
    </row>
    <row r="229" customFormat="false" ht="15" hidden="false" customHeight="false" outlineLevel="0" collapsed="false">
      <c r="A229" s="6" t="n">
        <v>228</v>
      </c>
      <c r="B229" s="6" t="s">
        <v>28</v>
      </c>
      <c r="C229" s="6" t="s">
        <v>1008</v>
      </c>
      <c r="D229" s="13" t="n">
        <v>46216</v>
      </c>
      <c r="E229" s="6" t="n">
        <f aca="false">MONTH(D229)</f>
        <v>7</v>
      </c>
      <c r="F229" s="6" t="s">
        <v>1009</v>
      </c>
      <c r="G229" s="6" t="s">
        <v>1010</v>
      </c>
      <c r="H229" s="6" t="s">
        <v>103</v>
      </c>
      <c r="I229" s="6" t="s">
        <v>34</v>
      </c>
      <c r="J229" s="6" t="s">
        <v>34</v>
      </c>
      <c r="K229" s="6" t="s">
        <v>98</v>
      </c>
      <c r="L229" s="13"/>
      <c r="M229" s="6" t="n">
        <v>0</v>
      </c>
      <c r="N229" s="13"/>
      <c r="O229" s="6" t="n">
        <v>0</v>
      </c>
      <c r="P229" s="6"/>
      <c r="Q229" s="8"/>
      <c r="R229" s="6"/>
      <c r="S229" s="8" t="str">
        <f aca="false">IF(Q229="","",IF(R229="EUR",ROUND(Q229*Параметры!$B$3,0),Q229))</f>
        <v/>
      </c>
      <c r="T229" s="6" t="s">
        <v>80</v>
      </c>
      <c r="U229" s="6" t="s">
        <v>163</v>
      </c>
      <c r="V229" s="13"/>
      <c r="W229" s="6" t="n">
        <f aca="false">IF(T229="Оплачено",1,0)</f>
        <v>0</v>
      </c>
      <c r="X229" s="6" t="n">
        <f aca="false">IF(OR(T229="Не дозвонились",Y229=0),0,1)</f>
        <v>0</v>
      </c>
      <c r="Y229" s="6" t="n">
        <v>1</v>
      </c>
      <c r="Z229" s="6"/>
      <c r="AA229" s="6" t="s">
        <v>336</v>
      </c>
      <c r="AB229" s="6"/>
    </row>
    <row r="230" customFormat="false" ht="15" hidden="false" customHeight="false" outlineLevel="0" collapsed="false">
      <c r="A230" s="6" t="n">
        <v>229</v>
      </c>
      <c r="B230" s="6" t="s">
        <v>28</v>
      </c>
      <c r="C230" s="6" t="s">
        <v>1011</v>
      </c>
      <c r="D230" s="13" t="n">
        <v>46216</v>
      </c>
      <c r="E230" s="6" t="n">
        <f aca="false">MONTH(D230)</f>
        <v>7</v>
      </c>
      <c r="F230" s="6" t="s">
        <v>1012</v>
      </c>
      <c r="G230" s="6" t="s">
        <v>1013</v>
      </c>
      <c r="H230" s="6" t="s">
        <v>155</v>
      </c>
      <c r="I230" s="6" t="s">
        <v>34</v>
      </c>
      <c r="J230" s="6" t="s">
        <v>34</v>
      </c>
      <c r="K230" s="6" t="s">
        <v>379</v>
      </c>
      <c r="L230" s="13"/>
      <c r="M230" s="6" t="n">
        <v>0</v>
      </c>
      <c r="N230" s="13"/>
      <c r="O230" s="6" t="n">
        <v>0</v>
      </c>
      <c r="P230" s="6"/>
      <c r="Q230" s="8"/>
      <c r="R230" s="6"/>
      <c r="S230" s="8" t="str">
        <f aca="false">IF(Q230="","",IF(R230="EUR",ROUND(Q230*Параметры!$B$3,0),Q230))</f>
        <v/>
      </c>
      <c r="T230" s="6" t="s">
        <v>71</v>
      </c>
      <c r="U230" s="6" t="s">
        <v>71</v>
      </c>
      <c r="V230" s="13"/>
      <c r="W230" s="6" t="n">
        <f aca="false">IF(T230="Оплачено",1,0)</f>
        <v>0</v>
      </c>
      <c r="X230" s="6" t="n">
        <f aca="false">IF(OR(T230="Не дозвонились",Y230=0),0,1)</f>
        <v>1</v>
      </c>
      <c r="Y230" s="6" t="n">
        <v>1</v>
      </c>
      <c r="Z230" s="6"/>
      <c r="AA230" s="6"/>
      <c r="AB230" s="6" t="s">
        <v>180</v>
      </c>
    </row>
    <row r="231" customFormat="false" ht="15" hidden="false" customHeight="false" outlineLevel="0" collapsed="false">
      <c r="A231" s="6" t="n">
        <v>230</v>
      </c>
      <c r="B231" s="6" t="s">
        <v>28</v>
      </c>
      <c r="C231" s="6" t="s">
        <v>1014</v>
      </c>
      <c r="D231" s="13" t="n">
        <v>46216</v>
      </c>
      <c r="E231" s="6" t="n">
        <f aca="false">MONTH(D231)</f>
        <v>7</v>
      </c>
      <c r="F231" s="6" t="s">
        <v>1015</v>
      </c>
      <c r="G231" s="6" t="s">
        <v>1016</v>
      </c>
      <c r="H231" s="6" t="s">
        <v>161</v>
      </c>
      <c r="I231" s="6" t="s">
        <v>34</v>
      </c>
      <c r="J231" s="6" t="s">
        <v>97</v>
      </c>
      <c r="K231" s="6" t="s">
        <v>198</v>
      </c>
      <c r="L231" s="13" t="n">
        <v>46218</v>
      </c>
      <c r="M231" s="6" t="n">
        <v>1</v>
      </c>
      <c r="N231" s="13" t="n">
        <v>46218</v>
      </c>
      <c r="O231" s="6" t="n">
        <v>1</v>
      </c>
      <c r="P231" s="6" t="s">
        <v>1017</v>
      </c>
      <c r="Q231" s="8" t="n">
        <v>27400</v>
      </c>
      <c r="R231" s="6" t="s">
        <v>89</v>
      </c>
      <c r="S231" s="8" t="n">
        <f aca="false">IF(Q231="","",IF(R231="EUR",ROUND(Q231*Параметры!$B$3,0),Q231))</f>
        <v>27400</v>
      </c>
      <c r="T231" s="6" t="s">
        <v>15</v>
      </c>
      <c r="U231" s="6" t="s">
        <v>15</v>
      </c>
      <c r="V231" s="13" t="n">
        <v>46227</v>
      </c>
      <c r="W231" s="6" t="n">
        <f aca="false">IF(T231="Оплачено",1,0)</f>
        <v>1</v>
      </c>
      <c r="X231" s="6" t="n">
        <f aca="false">IF(OR(T231="Не дозвонились",Y231=0),0,1)</f>
        <v>1</v>
      </c>
      <c r="Y231" s="6" t="n">
        <v>1</v>
      </c>
      <c r="Z231" s="6"/>
      <c r="AA231" s="6" t="s">
        <v>1018</v>
      </c>
      <c r="AB231" s="6"/>
    </row>
    <row r="232" customFormat="false" ht="15" hidden="false" customHeight="false" outlineLevel="0" collapsed="false">
      <c r="A232" s="6" t="n">
        <v>231</v>
      </c>
      <c r="B232" s="6" t="s">
        <v>29</v>
      </c>
      <c r="C232" s="6" t="s">
        <v>1019</v>
      </c>
      <c r="D232" s="13" t="n">
        <v>46216</v>
      </c>
      <c r="E232" s="6" t="n">
        <f aca="false">MONTH(D232)</f>
        <v>7</v>
      </c>
      <c r="F232" s="6" t="s">
        <v>1020</v>
      </c>
      <c r="G232" s="6" t="s">
        <v>1021</v>
      </c>
      <c r="H232" s="6" t="s">
        <v>481</v>
      </c>
      <c r="I232" s="6" t="s">
        <v>35</v>
      </c>
      <c r="J232" s="6" t="s">
        <v>142</v>
      </c>
      <c r="K232" s="6" t="s">
        <v>143</v>
      </c>
      <c r="L232" s="13" t="n">
        <v>46217</v>
      </c>
      <c r="M232" s="6" t="n">
        <v>1</v>
      </c>
      <c r="N232" s="13" t="n">
        <v>46221</v>
      </c>
      <c r="O232" s="6" t="n">
        <v>1</v>
      </c>
      <c r="P232" s="6" t="s">
        <v>1022</v>
      </c>
      <c r="Q232" s="8" t="n">
        <v>23300</v>
      </c>
      <c r="R232" s="6" t="s">
        <v>89</v>
      </c>
      <c r="S232" s="8" t="n">
        <f aca="false">IF(Q232="","",IF(R232="EUR",ROUND(Q232*Параметры!$B$3,0),Q232))</f>
        <v>23300</v>
      </c>
      <c r="T232" s="6" t="s">
        <v>71</v>
      </c>
      <c r="U232" s="6" t="s">
        <v>301</v>
      </c>
      <c r="V232" s="13"/>
      <c r="W232" s="6" t="n">
        <f aca="false">IF(T232="Оплачено",1,0)</f>
        <v>0</v>
      </c>
      <c r="X232" s="6" t="n">
        <f aca="false">IF(OR(T232="Не дозвонились",Y232=0),0,1)</f>
        <v>1</v>
      </c>
      <c r="Y232" s="6" t="n">
        <v>1</v>
      </c>
      <c r="Z232" s="6"/>
      <c r="AA232" s="6"/>
      <c r="AB232" s="6" t="s">
        <v>1023</v>
      </c>
    </row>
    <row r="233" customFormat="false" ht="15" hidden="false" customHeight="false" outlineLevel="0" collapsed="false">
      <c r="A233" s="6" t="n">
        <v>232</v>
      </c>
      <c r="B233" s="6" t="s">
        <v>29</v>
      </c>
      <c r="C233" s="6" t="s">
        <v>1024</v>
      </c>
      <c r="D233" s="13" t="n">
        <v>46216</v>
      </c>
      <c r="E233" s="6" t="n">
        <f aca="false">MONTH(D233)</f>
        <v>7</v>
      </c>
      <c r="F233" s="6" t="s">
        <v>1025</v>
      </c>
      <c r="G233" s="6" t="s">
        <v>1026</v>
      </c>
      <c r="H233" s="6" t="s">
        <v>266</v>
      </c>
      <c r="I233" s="6" t="s">
        <v>36</v>
      </c>
      <c r="J233" s="6" t="s">
        <v>409</v>
      </c>
      <c r="K233" s="6" t="s">
        <v>143</v>
      </c>
      <c r="L233" s="13" t="n">
        <v>46222</v>
      </c>
      <c r="M233" s="6" t="n">
        <v>1</v>
      </c>
      <c r="N233" s="13" t="n">
        <v>46226</v>
      </c>
      <c r="O233" s="6" t="n">
        <v>1</v>
      </c>
      <c r="P233" s="6" t="s">
        <v>1027</v>
      </c>
      <c r="Q233" s="8" t="n">
        <v>25800</v>
      </c>
      <c r="R233" s="6" t="s">
        <v>89</v>
      </c>
      <c r="S233" s="8" t="n">
        <f aca="false">IF(Q233="","",IF(R233="EUR",ROUND(Q233*Параметры!$B$3,0),Q233))</f>
        <v>25800</v>
      </c>
      <c r="T233" s="6" t="s">
        <v>90</v>
      </c>
      <c r="U233" s="6" t="s">
        <v>434</v>
      </c>
      <c r="V233" s="13"/>
      <c r="W233" s="6" t="n">
        <f aca="false">IF(T233="Оплачено",1,0)</f>
        <v>0</v>
      </c>
      <c r="X233" s="6" t="n">
        <f aca="false">IF(OR(T233="Не дозвонились",Y233=0),0,1)</f>
        <v>1</v>
      </c>
      <c r="Y233" s="6" t="n">
        <v>1</v>
      </c>
      <c r="Z233" s="6"/>
      <c r="AA233" s="6"/>
      <c r="AB233" s="6"/>
    </row>
    <row r="234" customFormat="false" ht="15" hidden="false" customHeight="false" outlineLevel="0" collapsed="false">
      <c r="A234" s="6" t="n">
        <v>233</v>
      </c>
      <c r="B234" s="6" t="s">
        <v>28</v>
      </c>
      <c r="C234" s="6" t="s">
        <v>1028</v>
      </c>
      <c r="D234" s="13" t="n">
        <v>46217</v>
      </c>
      <c r="E234" s="6" t="n">
        <f aca="false">MONTH(D234)</f>
        <v>7</v>
      </c>
      <c r="F234" s="6" t="s">
        <v>1029</v>
      </c>
      <c r="G234" s="6" t="s">
        <v>1030</v>
      </c>
      <c r="H234" s="6" t="s">
        <v>197</v>
      </c>
      <c r="I234" s="6" t="s">
        <v>34</v>
      </c>
      <c r="J234" s="6" t="s">
        <v>34</v>
      </c>
      <c r="K234" s="6" t="s">
        <v>110</v>
      </c>
      <c r="L234" s="13"/>
      <c r="M234" s="6" t="n">
        <v>0</v>
      </c>
      <c r="N234" s="13"/>
      <c r="O234" s="6" t="n">
        <v>0</v>
      </c>
      <c r="P234" s="6"/>
      <c r="Q234" s="8"/>
      <c r="R234" s="6"/>
      <c r="S234" s="8" t="str">
        <f aca="false">IF(Q234="","",IF(R234="EUR",ROUND(Q234*Параметры!$B$3,0),Q234))</f>
        <v/>
      </c>
      <c r="T234" s="6" t="s">
        <v>71</v>
      </c>
      <c r="U234" s="6" t="s">
        <v>71</v>
      </c>
      <c r="V234" s="13"/>
      <c r="W234" s="6" t="n">
        <f aca="false">IF(T234="Оплачено",1,0)</f>
        <v>0</v>
      </c>
      <c r="X234" s="6" t="n">
        <f aca="false">IF(OR(T234="Не дозвонились",Y234=0),0,1)</f>
        <v>1</v>
      </c>
      <c r="Y234" s="6" t="n">
        <v>1</v>
      </c>
      <c r="Z234" s="6"/>
      <c r="AA234" s="6"/>
      <c r="AB234" s="6"/>
    </row>
    <row r="235" customFormat="false" ht="15" hidden="false" customHeight="false" outlineLevel="0" collapsed="false">
      <c r="A235" s="6" t="n">
        <v>234</v>
      </c>
      <c r="B235" s="6" t="s">
        <v>29</v>
      </c>
      <c r="C235" s="6" t="s">
        <v>1031</v>
      </c>
      <c r="D235" s="13" t="n">
        <v>46217</v>
      </c>
      <c r="E235" s="6" t="n">
        <f aca="false">MONTH(D235)</f>
        <v>7</v>
      </c>
      <c r="F235" s="6" t="s">
        <v>1032</v>
      </c>
      <c r="G235" s="6" t="s">
        <v>1033</v>
      </c>
      <c r="H235" s="6" t="s">
        <v>114</v>
      </c>
      <c r="I235" s="6" t="s">
        <v>39</v>
      </c>
      <c r="J235" s="6"/>
      <c r="K235" s="6" t="s">
        <v>143</v>
      </c>
      <c r="L235" s="13"/>
      <c r="M235" s="6" t="n">
        <v>0</v>
      </c>
      <c r="N235" s="13"/>
      <c r="O235" s="6" t="n">
        <v>0</v>
      </c>
      <c r="P235" s="6"/>
      <c r="Q235" s="8"/>
      <c r="R235" s="6"/>
      <c r="S235" s="8" t="str">
        <f aca="false">IF(Q235="","",IF(R235="EUR",ROUND(Q235*Параметры!$B$3,0),Q235))</f>
        <v/>
      </c>
      <c r="T235" s="6" t="s">
        <v>71</v>
      </c>
      <c r="U235" s="6" t="s">
        <v>301</v>
      </c>
      <c r="V235" s="13"/>
      <c r="W235" s="6" t="n">
        <f aca="false">IF(T235="Оплачено",1,0)</f>
        <v>0</v>
      </c>
      <c r="X235" s="6" t="n">
        <f aca="false">IF(OR(T235="Не дозвонились",Y235=0),0,1)</f>
        <v>1</v>
      </c>
      <c r="Y235" s="6" t="n">
        <v>1</v>
      </c>
      <c r="Z235" s="6"/>
      <c r="AA235" s="6"/>
      <c r="AB235" s="6" t="s">
        <v>1034</v>
      </c>
    </row>
    <row r="236" customFormat="false" ht="15" hidden="false" customHeight="false" outlineLevel="0" collapsed="false">
      <c r="A236" s="6" t="n">
        <v>235</v>
      </c>
      <c r="B236" s="6" t="s">
        <v>29</v>
      </c>
      <c r="C236" s="6" t="s">
        <v>1035</v>
      </c>
      <c r="D236" s="13" t="n">
        <v>46217</v>
      </c>
      <c r="E236" s="6" t="n">
        <f aca="false">MONTH(D236)</f>
        <v>7</v>
      </c>
      <c r="F236" s="6" t="s">
        <v>1036</v>
      </c>
      <c r="G236" s="6" t="s">
        <v>1037</v>
      </c>
      <c r="H236" s="6" t="s">
        <v>121</v>
      </c>
      <c r="I236" s="6" t="s">
        <v>37</v>
      </c>
      <c r="J236" s="6" t="s">
        <v>69</v>
      </c>
      <c r="K236" s="6" t="s">
        <v>318</v>
      </c>
      <c r="L236" s="13"/>
      <c r="M236" s="6" t="n">
        <v>0</v>
      </c>
      <c r="N236" s="13"/>
      <c r="O236" s="6" t="n">
        <v>0</v>
      </c>
      <c r="P236" s="6"/>
      <c r="Q236" s="8"/>
      <c r="R236" s="6"/>
      <c r="S236" s="8" t="str">
        <f aca="false">IF(Q236="","",IF(R236="EUR",ROUND(Q236*Параметры!$B$3,0),Q236))</f>
        <v/>
      </c>
      <c r="T236" s="6" t="s">
        <v>71</v>
      </c>
      <c r="U236" s="6" t="s">
        <v>301</v>
      </c>
      <c r="V236" s="13"/>
      <c r="W236" s="6" t="n">
        <f aca="false">IF(T236="Оплачено",1,0)</f>
        <v>0</v>
      </c>
      <c r="X236" s="6" t="n">
        <f aca="false">IF(OR(T236="Не дозвонились",Y236=0),0,1)</f>
        <v>1</v>
      </c>
      <c r="Y236" s="6" t="n">
        <v>1</v>
      </c>
      <c r="Z236" s="6"/>
      <c r="AA236" s="6"/>
      <c r="AB236" s="6" t="s">
        <v>235</v>
      </c>
    </row>
    <row r="237" customFormat="false" ht="15" hidden="false" customHeight="false" outlineLevel="0" collapsed="false">
      <c r="A237" s="14" t="n">
        <v>236</v>
      </c>
      <c r="B237" s="14" t="s">
        <v>29</v>
      </c>
      <c r="C237" s="14" t="s">
        <v>1038</v>
      </c>
      <c r="D237" s="15" t="n">
        <v>46217</v>
      </c>
      <c r="E237" s="14" t="n">
        <f aca="false">MONTH(D237)</f>
        <v>7</v>
      </c>
      <c r="F237" s="14" t="s">
        <v>1039</v>
      </c>
      <c r="G237" s="14" t="s">
        <v>1016</v>
      </c>
      <c r="H237" s="14" t="s">
        <v>266</v>
      </c>
      <c r="I237" s="14" t="s">
        <v>34</v>
      </c>
      <c r="J237" s="14" t="s">
        <v>167</v>
      </c>
      <c r="K237" s="14" t="s">
        <v>168</v>
      </c>
      <c r="L237" s="15"/>
      <c r="M237" s="14" t="n">
        <v>0</v>
      </c>
      <c r="N237" s="15"/>
      <c r="O237" s="14" t="n">
        <v>0</v>
      </c>
      <c r="P237" s="14"/>
      <c r="Q237" s="16"/>
      <c r="R237" s="14"/>
      <c r="S237" s="16" t="str">
        <f aca="false">IF(Q237="","",IF(R237="EUR",ROUND(Q237*Параметры!$B$3,0),Q237))</f>
        <v/>
      </c>
      <c r="T237" s="14" t="s">
        <v>427</v>
      </c>
      <c r="U237" s="14" t="s">
        <v>1040</v>
      </c>
      <c r="V237" s="15"/>
      <c r="W237" s="14" t="n">
        <f aca="false">IF(T237="Оплачено",1,0)</f>
        <v>0</v>
      </c>
      <c r="X237" s="14" t="n">
        <f aca="false">IF(OR(T237="Не дозвонились",Y237=0),0,1)</f>
        <v>0</v>
      </c>
      <c r="Y237" s="14" t="n">
        <v>0</v>
      </c>
      <c r="Z237" s="14" t="s">
        <v>1041</v>
      </c>
      <c r="AA237" s="14"/>
      <c r="AB237" s="14"/>
    </row>
    <row r="238" customFormat="false" ht="15" hidden="false" customHeight="false" outlineLevel="0" collapsed="false">
      <c r="A238" s="6" t="n">
        <v>237</v>
      </c>
      <c r="B238" s="6" t="s">
        <v>30</v>
      </c>
      <c r="C238" s="6" t="s">
        <v>1042</v>
      </c>
      <c r="D238" s="13" t="n">
        <v>46217</v>
      </c>
      <c r="E238" s="6" t="n">
        <f aca="false">MONTH(D238)</f>
        <v>7</v>
      </c>
      <c r="F238" s="6" t="s">
        <v>177</v>
      </c>
      <c r="G238" s="6" t="s">
        <v>1043</v>
      </c>
      <c r="H238" s="6" t="s">
        <v>850</v>
      </c>
      <c r="I238" s="6" t="s">
        <v>34</v>
      </c>
      <c r="J238" s="6" t="s">
        <v>132</v>
      </c>
      <c r="K238" s="6" t="s">
        <v>149</v>
      </c>
      <c r="L238" s="13"/>
      <c r="M238" s="6" t="n">
        <v>0</v>
      </c>
      <c r="N238" s="13"/>
      <c r="O238" s="6" t="n">
        <v>0</v>
      </c>
      <c r="P238" s="6"/>
      <c r="Q238" s="8"/>
      <c r="R238" s="6"/>
      <c r="S238" s="8" t="str">
        <f aca="false">IF(Q238="","",IF(R238="EUR",ROUND(Q238*Параметры!$B$3,0),Q238))</f>
        <v/>
      </c>
      <c r="T238" s="6" t="s">
        <v>71</v>
      </c>
      <c r="U238" s="6" t="s">
        <v>225</v>
      </c>
      <c r="V238" s="13"/>
      <c r="W238" s="6" t="n">
        <f aca="false">IF(T238="Оплачено",1,0)</f>
        <v>0</v>
      </c>
      <c r="X238" s="6" t="n">
        <f aca="false">IF(OR(T238="Не дозвонились",Y238=0),0,1)</f>
        <v>1</v>
      </c>
      <c r="Y238" s="6" t="n">
        <v>1</v>
      </c>
      <c r="Z238" s="6"/>
      <c r="AA238" s="6"/>
      <c r="AB238" s="6"/>
    </row>
    <row r="239" customFormat="false" ht="15" hidden="false" customHeight="false" outlineLevel="0" collapsed="false">
      <c r="A239" s="6" t="n">
        <v>238</v>
      </c>
      <c r="B239" s="6" t="s">
        <v>28</v>
      </c>
      <c r="C239" s="6" t="s">
        <v>1044</v>
      </c>
      <c r="D239" s="13" t="n">
        <v>46218</v>
      </c>
      <c r="E239" s="6" t="n">
        <f aca="false">MONTH(D239)</f>
        <v>7</v>
      </c>
      <c r="F239" s="6" t="s">
        <v>1045</v>
      </c>
      <c r="G239" s="6" t="s">
        <v>1046</v>
      </c>
      <c r="H239" s="6" t="s">
        <v>286</v>
      </c>
      <c r="I239" s="6" t="s">
        <v>37</v>
      </c>
      <c r="J239" s="6" t="s">
        <v>313</v>
      </c>
      <c r="K239" s="6" t="s">
        <v>198</v>
      </c>
      <c r="L239" s="13" t="n">
        <v>46222</v>
      </c>
      <c r="M239" s="6" t="n">
        <v>1</v>
      </c>
      <c r="N239" s="13" t="n">
        <v>46228</v>
      </c>
      <c r="O239" s="6" t="n">
        <v>1</v>
      </c>
      <c r="P239" s="6" t="s">
        <v>1047</v>
      </c>
      <c r="Q239" s="8" t="n">
        <v>17200</v>
      </c>
      <c r="R239" s="6" t="s">
        <v>89</v>
      </c>
      <c r="S239" s="8" t="n">
        <f aca="false">IF(Q239="","",IF(R239="EUR",ROUND(Q239*Параметры!$B$3,0),Q239))</f>
        <v>17200</v>
      </c>
      <c r="T239" s="6" t="s">
        <v>15</v>
      </c>
      <c r="U239" s="6" t="s">
        <v>15</v>
      </c>
      <c r="V239" s="13" t="n">
        <v>46237</v>
      </c>
      <c r="W239" s="6" t="n">
        <f aca="false">IF(T239="Оплачено",1,0)</f>
        <v>1</v>
      </c>
      <c r="X239" s="6" t="n">
        <f aca="false">IF(OR(T239="Не дозвонились",Y239=0),0,1)</f>
        <v>1</v>
      </c>
      <c r="Y239" s="6" t="n">
        <v>1</v>
      </c>
      <c r="Z239" s="6"/>
      <c r="AA239" s="6"/>
      <c r="AB239" s="6"/>
    </row>
    <row r="240" customFormat="false" ht="15" hidden="false" customHeight="false" outlineLevel="0" collapsed="false">
      <c r="A240" s="6" t="n">
        <v>239</v>
      </c>
      <c r="B240" s="6" t="s">
        <v>28</v>
      </c>
      <c r="C240" s="6" t="s">
        <v>1048</v>
      </c>
      <c r="D240" s="13" t="n">
        <v>46218</v>
      </c>
      <c r="E240" s="6" t="n">
        <f aca="false">MONTH(D240)</f>
        <v>7</v>
      </c>
      <c r="F240" s="6" t="s">
        <v>1049</v>
      </c>
      <c r="G240" s="6" t="s">
        <v>1050</v>
      </c>
      <c r="H240" s="6" t="s">
        <v>208</v>
      </c>
      <c r="I240" s="6" t="s">
        <v>34</v>
      </c>
      <c r="J240" s="6" t="s">
        <v>34</v>
      </c>
      <c r="K240" s="6" t="s">
        <v>287</v>
      </c>
      <c r="L240" s="13" t="n">
        <v>46221</v>
      </c>
      <c r="M240" s="6" t="n">
        <v>1</v>
      </c>
      <c r="N240" s="13" t="n">
        <v>46226</v>
      </c>
      <c r="O240" s="6" t="n">
        <v>1</v>
      </c>
      <c r="P240" s="6" t="s">
        <v>1047</v>
      </c>
      <c r="Q240" s="8" t="n">
        <v>17200</v>
      </c>
      <c r="R240" s="6" t="s">
        <v>89</v>
      </c>
      <c r="S240" s="8" t="n">
        <f aca="false">IF(Q240="","",IF(R240="EUR",ROUND(Q240*Параметры!$B$3,0),Q240))</f>
        <v>17200</v>
      </c>
      <c r="T240" s="6" t="s">
        <v>71</v>
      </c>
      <c r="U240" s="6" t="s">
        <v>71</v>
      </c>
      <c r="V240" s="13"/>
      <c r="W240" s="6" t="n">
        <f aca="false">IF(T240="Оплачено",1,0)</f>
        <v>0</v>
      </c>
      <c r="X240" s="6" t="n">
        <f aca="false">IF(OR(T240="Не дозвонились",Y240=0),0,1)</f>
        <v>1</v>
      </c>
      <c r="Y240" s="6" t="n">
        <v>1</v>
      </c>
      <c r="Z240" s="6"/>
      <c r="AA240" s="6" t="s">
        <v>1051</v>
      </c>
      <c r="AB240" s="6" t="s">
        <v>325</v>
      </c>
    </row>
    <row r="241" customFormat="false" ht="15" hidden="false" customHeight="false" outlineLevel="0" collapsed="false">
      <c r="A241" s="14" t="n">
        <v>240</v>
      </c>
      <c r="B241" s="14" t="s">
        <v>28</v>
      </c>
      <c r="C241" s="14" t="s">
        <v>1052</v>
      </c>
      <c r="D241" s="15" t="n">
        <v>46218</v>
      </c>
      <c r="E241" s="14" t="n">
        <f aca="false">MONTH(D241)</f>
        <v>7</v>
      </c>
      <c r="F241" s="14" t="s">
        <v>1049</v>
      </c>
      <c r="G241" s="14" t="s">
        <v>1050</v>
      </c>
      <c r="H241" s="14" t="s">
        <v>208</v>
      </c>
      <c r="I241" s="14" t="s">
        <v>34</v>
      </c>
      <c r="J241" s="14" t="s">
        <v>34</v>
      </c>
      <c r="K241" s="14" t="s">
        <v>287</v>
      </c>
      <c r="L241" s="15" t="n">
        <v>46221</v>
      </c>
      <c r="M241" s="14" t="n">
        <v>1</v>
      </c>
      <c r="N241" s="15" t="n">
        <v>46226</v>
      </c>
      <c r="O241" s="14" t="n">
        <v>1</v>
      </c>
      <c r="P241" s="14" t="s">
        <v>1047</v>
      </c>
      <c r="Q241" s="16" t="n">
        <v>17200</v>
      </c>
      <c r="R241" s="14" t="s">
        <v>89</v>
      </c>
      <c r="S241" s="16" t="n">
        <f aca="false">IF(Q241="","",IF(R241="EUR",ROUND(Q241*Параметры!$B$3,0),Q241))</f>
        <v>17200</v>
      </c>
      <c r="T241" s="14" t="s">
        <v>71</v>
      </c>
      <c r="U241" s="14" t="s">
        <v>71</v>
      </c>
      <c r="V241" s="15"/>
      <c r="W241" s="14" t="n">
        <f aca="false">IF(T241="Оплачено",1,0)</f>
        <v>0</v>
      </c>
      <c r="X241" s="14" t="n">
        <f aca="false">IF(OR(T241="Не дозвонились",Y241=0),0,1)</f>
        <v>0</v>
      </c>
      <c r="Y241" s="14" t="n">
        <v>0</v>
      </c>
      <c r="Z241" s="14" t="s">
        <v>1053</v>
      </c>
      <c r="AA241" s="14"/>
      <c r="AB241" s="14" t="s">
        <v>325</v>
      </c>
    </row>
    <row r="242" customFormat="false" ht="15" hidden="false" customHeight="false" outlineLevel="0" collapsed="false">
      <c r="A242" s="6" t="n">
        <v>241</v>
      </c>
      <c r="B242" s="6" t="s">
        <v>29</v>
      </c>
      <c r="C242" s="6" t="s">
        <v>1054</v>
      </c>
      <c r="D242" s="13" t="n">
        <v>46218</v>
      </c>
      <c r="E242" s="6" t="n">
        <f aca="false">MONTH(D242)</f>
        <v>7</v>
      </c>
      <c r="F242" s="6" t="s">
        <v>1055</v>
      </c>
      <c r="G242" s="6" t="s">
        <v>1056</v>
      </c>
      <c r="H242" s="6" t="s">
        <v>298</v>
      </c>
      <c r="I242" s="6" t="s">
        <v>34</v>
      </c>
      <c r="J242" s="6" t="s">
        <v>34</v>
      </c>
      <c r="K242" s="6" t="s">
        <v>401</v>
      </c>
      <c r="L242" s="13"/>
      <c r="M242" s="6" t="n">
        <v>0</v>
      </c>
      <c r="N242" s="13"/>
      <c r="O242" s="6" t="n">
        <v>0</v>
      </c>
      <c r="P242" s="6"/>
      <c r="Q242" s="8"/>
      <c r="R242" s="6"/>
      <c r="S242" s="8" t="str">
        <f aca="false">IF(Q242="","",IF(R242="EUR",ROUND(Q242*Параметры!$B$3,0),Q242))</f>
        <v/>
      </c>
      <c r="T242" s="6" t="s">
        <v>71</v>
      </c>
      <c r="U242" s="6" t="s">
        <v>301</v>
      </c>
      <c r="V242" s="13"/>
      <c r="W242" s="6" t="n">
        <f aca="false">IF(T242="Оплачено",1,0)</f>
        <v>0</v>
      </c>
      <c r="X242" s="6" t="n">
        <f aca="false">IF(OR(T242="Не дозвонились",Y242=0),0,1)</f>
        <v>1</v>
      </c>
      <c r="Y242" s="6" t="n">
        <v>1</v>
      </c>
      <c r="Z242" s="6"/>
      <c r="AA242" s="6"/>
      <c r="AB242" s="6" t="s">
        <v>1057</v>
      </c>
    </row>
    <row r="243" customFormat="false" ht="15" hidden="false" customHeight="false" outlineLevel="0" collapsed="false">
      <c r="A243" s="6" t="n">
        <v>242</v>
      </c>
      <c r="B243" s="6" t="s">
        <v>29</v>
      </c>
      <c r="C243" s="6" t="s">
        <v>1058</v>
      </c>
      <c r="D243" s="13" t="n">
        <v>46218</v>
      </c>
      <c r="E243" s="6" t="n">
        <f aca="false">MONTH(D243)</f>
        <v>7</v>
      </c>
      <c r="F243" s="6" t="s">
        <v>1059</v>
      </c>
      <c r="G243" s="6" t="s">
        <v>1060</v>
      </c>
      <c r="H243" s="6" t="s">
        <v>114</v>
      </c>
      <c r="I243" s="6" t="s">
        <v>37</v>
      </c>
      <c r="J243" s="6" t="s">
        <v>69</v>
      </c>
      <c r="K243" s="6" t="s">
        <v>299</v>
      </c>
      <c r="L243" s="13" t="n">
        <v>46223</v>
      </c>
      <c r="M243" s="6" t="n">
        <v>1</v>
      </c>
      <c r="N243" s="13" t="n">
        <v>46227</v>
      </c>
      <c r="O243" s="6" t="n">
        <v>1</v>
      </c>
      <c r="P243" s="6" t="s">
        <v>1061</v>
      </c>
      <c r="Q243" s="8" t="n">
        <v>73500</v>
      </c>
      <c r="R243" s="6" t="s">
        <v>89</v>
      </c>
      <c r="S243" s="8" t="n">
        <f aca="false">IF(Q243="","",IF(R243="EUR",ROUND(Q243*Параметры!$B$3,0),Q243))</f>
        <v>73500</v>
      </c>
      <c r="T243" s="6" t="s">
        <v>15</v>
      </c>
      <c r="U243" s="6" t="s">
        <v>616</v>
      </c>
      <c r="V243" s="13" t="n">
        <v>46236</v>
      </c>
      <c r="W243" s="6" t="n">
        <f aca="false">IF(T243="Оплачено",1,0)</f>
        <v>1</v>
      </c>
      <c r="X243" s="6" t="n">
        <f aca="false">IF(OR(T243="Не дозвонились",Y243=0),0,1)</f>
        <v>1</v>
      </c>
      <c r="Y243" s="6" t="n">
        <v>1</v>
      </c>
      <c r="Z243" s="6"/>
      <c r="AA243" s="6"/>
      <c r="AB243" s="6" t="s">
        <v>519</v>
      </c>
    </row>
    <row r="244" customFormat="false" ht="15" hidden="false" customHeight="false" outlineLevel="0" collapsed="false">
      <c r="A244" s="6" t="n">
        <v>243</v>
      </c>
      <c r="B244" s="6" t="s">
        <v>29</v>
      </c>
      <c r="C244" s="6" t="s">
        <v>1062</v>
      </c>
      <c r="D244" s="13" t="n">
        <v>46218</v>
      </c>
      <c r="E244" s="6" t="n">
        <f aca="false">MONTH(D244)</f>
        <v>7</v>
      </c>
      <c r="F244" s="6" t="s">
        <v>1063</v>
      </c>
      <c r="G244" s="6" t="s">
        <v>1064</v>
      </c>
      <c r="H244" s="6" t="s">
        <v>266</v>
      </c>
      <c r="I244" s="6" t="s">
        <v>34</v>
      </c>
      <c r="J244" s="6" t="s">
        <v>383</v>
      </c>
      <c r="K244" s="6" t="s">
        <v>344</v>
      </c>
      <c r="L244" s="13"/>
      <c r="M244" s="6" t="n">
        <v>0</v>
      </c>
      <c r="N244" s="13"/>
      <c r="O244" s="6" t="n">
        <v>0</v>
      </c>
      <c r="P244" s="6"/>
      <c r="Q244" s="8"/>
      <c r="R244" s="6"/>
      <c r="S244" s="8" t="str">
        <f aca="false">IF(Q244="","",IF(R244="EUR",ROUND(Q244*Параметры!$B$3,0),Q244))</f>
        <v/>
      </c>
      <c r="T244" s="6" t="s">
        <v>71</v>
      </c>
      <c r="U244" s="6" t="s">
        <v>72</v>
      </c>
      <c r="V244" s="13"/>
      <c r="W244" s="6" t="n">
        <f aca="false">IF(T244="Оплачено",1,0)</f>
        <v>0</v>
      </c>
      <c r="X244" s="6" t="n">
        <f aca="false">IF(OR(T244="Не дозвонились",Y244=0),0,1)</f>
        <v>1</v>
      </c>
      <c r="Y244" s="6" t="n">
        <v>1</v>
      </c>
      <c r="Z244" s="6"/>
      <c r="AA244" s="6"/>
      <c r="AB244" s="6" t="s">
        <v>209</v>
      </c>
    </row>
    <row r="245" customFormat="false" ht="15" hidden="false" customHeight="false" outlineLevel="0" collapsed="false">
      <c r="A245" s="6" t="n">
        <v>244</v>
      </c>
      <c r="B245" s="6" t="s">
        <v>29</v>
      </c>
      <c r="C245" s="6" t="s">
        <v>1065</v>
      </c>
      <c r="D245" s="13" t="n">
        <v>46218</v>
      </c>
      <c r="E245" s="6" t="n">
        <f aca="false">MONTH(D245)</f>
        <v>7</v>
      </c>
      <c r="F245" s="6" t="s">
        <v>1066</v>
      </c>
      <c r="G245" s="6" t="s">
        <v>1067</v>
      </c>
      <c r="H245" s="6" t="s">
        <v>1068</v>
      </c>
      <c r="I245" s="6" t="s">
        <v>39</v>
      </c>
      <c r="J245" s="6"/>
      <c r="K245" s="6" t="s">
        <v>143</v>
      </c>
      <c r="L245" s="13" t="n">
        <v>46223</v>
      </c>
      <c r="M245" s="6" t="n">
        <v>1</v>
      </c>
      <c r="N245" s="13" t="n">
        <v>46225</v>
      </c>
      <c r="O245" s="6" t="n">
        <v>1</v>
      </c>
      <c r="P245" s="6" t="s">
        <v>1069</v>
      </c>
      <c r="Q245" s="8" t="n">
        <v>16000</v>
      </c>
      <c r="R245" s="6" t="s">
        <v>89</v>
      </c>
      <c r="S245" s="8" t="n">
        <f aca="false">IF(Q245="","",IF(R245="EUR",ROUND(Q245*Параметры!$B$3,0),Q245))</f>
        <v>16000</v>
      </c>
      <c r="T245" s="6" t="s">
        <v>71</v>
      </c>
      <c r="U245" s="6" t="s">
        <v>301</v>
      </c>
      <c r="V245" s="13"/>
      <c r="W245" s="6" t="n">
        <f aca="false">IF(T245="Оплачено",1,0)</f>
        <v>0</v>
      </c>
      <c r="X245" s="6" t="n">
        <f aca="false">IF(OR(T245="Не дозвонились",Y245=0),0,1)</f>
        <v>1</v>
      </c>
      <c r="Y245" s="6" t="n">
        <v>1</v>
      </c>
      <c r="Z245" s="6"/>
      <c r="AA245" s="6"/>
      <c r="AB245" s="6"/>
    </row>
    <row r="246" customFormat="false" ht="15" hidden="false" customHeight="false" outlineLevel="0" collapsed="false">
      <c r="A246" s="6" t="n">
        <v>245</v>
      </c>
      <c r="B246" s="6" t="s">
        <v>30</v>
      </c>
      <c r="C246" s="6" t="s">
        <v>1070</v>
      </c>
      <c r="D246" s="13" t="n">
        <v>46218</v>
      </c>
      <c r="E246" s="6" t="n">
        <f aca="false">MONTH(D246)</f>
        <v>7</v>
      </c>
      <c r="F246" s="6" t="s">
        <v>1071</v>
      </c>
      <c r="G246" s="6" t="s">
        <v>1072</v>
      </c>
      <c r="H246" s="6" t="s">
        <v>85</v>
      </c>
      <c r="I246" s="6" t="s">
        <v>37</v>
      </c>
      <c r="J246" s="6" t="s">
        <v>598</v>
      </c>
      <c r="K246" s="6" t="s">
        <v>224</v>
      </c>
      <c r="L246" s="13" t="n">
        <v>46219</v>
      </c>
      <c r="M246" s="6" t="n">
        <v>1</v>
      </c>
      <c r="N246" s="13" t="n">
        <v>46219</v>
      </c>
      <c r="O246" s="6" t="n">
        <v>1</v>
      </c>
      <c r="P246" s="6" t="s">
        <v>1073</v>
      </c>
      <c r="Q246" s="8" t="n">
        <v>16800</v>
      </c>
      <c r="R246" s="6" t="s">
        <v>89</v>
      </c>
      <c r="S246" s="8" t="n">
        <f aca="false">IF(Q246="","",IF(R246="EUR",ROUND(Q246*Параметры!$B$3,0),Q246))</f>
        <v>16800</v>
      </c>
      <c r="T246" s="6" t="s">
        <v>15</v>
      </c>
      <c r="U246" s="6" t="s">
        <v>1074</v>
      </c>
      <c r="V246" s="13" t="n">
        <v>46223</v>
      </c>
      <c r="W246" s="6" t="n">
        <f aca="false">IF(T246="Оплачено",1,0)</f>
        <v>1</v>
      </c>
      <c r="X246" s="6" t="n">
        <f aca="false">IF(OR(T246="Не дозвонились",Y246=0),0,1)</f>
        <v>1</v>
      </c>
      <c r="Y246" s="6" t="n">
        <v>1</v>
      </c>
      <c r="Z246" s="6"/>
      <c r="AA246" s="6"/>
      <c r="AB246" s="6"/>
    </row>
    <row r="247" customFormat="false" ht="15" hidden="false" customHeight="false" outlineLevel="0" collapsed="false">
      <c r="A247" s="6" t="n">
        <v>246</v>
      </c>
      <c r="B247" s="6" t="s">
        <v>28</v>
      </c>
      <c r="C247" s="6" t="s">
        <v>1075</v>
      </c>
      <c r="D247" s="13" t="n">
        <v>46219</v>
      </c>
      <c r="E247" s="6" t="n">
        <f aca="false">MONTH(D247)</f>
        <v>7</v>
      </c>
      <c r="F247" s="6" t="s">
        <v>1076</v>
      </c>
      <c r="G247" s="6" t="s">
        <v>1077</v>
      </c>
      <c r="H247" s="6" t="s">
        <v>155</v>
      </c>
      <c r="I247" s="6" t="s">
        <v>39</v>
      </c>
      <c r="J247" s="6"/>
      <c r="K247" s="6" t="s">
        <v>162</v>
      </c>
      <c r="L247" s="13"/>
      <c r="M247" s="6" t="n">
        <v>0</v>
      </c>
      <c r="N247" s="13"/>
      <c r="O247" s="6" t="n">
        <v>0</v>
      </c>
      <c r="P247" s="6"/>
      <c r="Q247" s="8"/>
      <c r="R247" s="6"/>
      <c r="S247" s="8" t="str">
        <f aca="false">IF(Q247="","",IF(R247="EUR",ROUND(Q247*Параметры!$B$3,0),Q247))</f>
        <v/>
      </c>
      <c r="T247" s="6" t="s">
        <v>71</v>
      </c>
      <c r="U247" s="6" t="s">
        <v>71</v>
      </c>
      <c r="V247" s="13"/>
      <c r="W247" s="6" t="n">
        <f aca="false">IF(T247="Оплачено",1,0)</f>
        <v>0</v>
      </c>
      <c r="X247" s="6" t="n">
        <f aca="false">IF(OR(T247="Не дозвонились",Y247=0),0,1)</f>
        <v>1</v>
      </c>
      <c r="Y247" s="6" t="n">
        <v>1</v>
      </c>
      <c r="Z247" s="6"/>
      <c r="AA247" s="6"/>
      <c r="AB247" s="6" t="s">
        <v>1078</v>
      </c>
    </row>
    <row r="248" customFormat="false" ht="15" hidden="false" customHeight="false" outlineLevel="0" collapsed="false">
      <c r="A248" s="6" t="n">
        <v>247</v>
      </c>
      <c r="B248" s="6" t="s">
        <v>29</v>
      </c>
      <c r="C248" s="6" t="s">
        <v>1079</v>
      </c>
      <c r="D248" s="13" t="n">
        <v>46219</v>
      </c>
      <c r="E248" s="6" t="n">
        <f aca="false">MONTH(D248)</f>
        <v>7</v>
      </c>
      <c r="F248" s="6" t="s">
        <v>1080</v>
      </c>
      <c r="G248" s="6" t="s">
        <v>1081</v>
      </c>
      <c r="H248" s="6" t="s">
        <v>96</v>
      </c>
      <c r="I248" s="6" t="s">
        <v>34</v>
      </c>
      <c r="J248" s="6" t="s">
        <v>167</v>
      </c>
      <c r="K248" s="6" t="s">
        <v>128</v>
      </c>
      <c r="L248" s="13"/>
      <c r="M248" s="6" t="n">
        <v>0</v>
      </c>
      <c r="N248" s="13"/>
      <c r="O248" s="6" t="n">
        <v>0</v>
      </c>
      <c r="P248" s="6"/>
      <c r="Q248" s="8"/>
      <c r="R248" s="6"/>
      <c r="S248" s="8" t="str">
        <f aca="false">IF(Q248="","",IF(R248="EUR",ROUND(Q248*Параметры!$B$3,0),Q248))</f>
        <v/>
      </c>
      <c r="T248" s="6" t="s">
        <v>80</v>
      </c>
      <c r="U248" s="6" t="s">
        <v>117</v>
      </c>
      <c r="V248" s="13"/>
      <c r="W248" s="6" t="n">
        <f aca="false">IF(T248="Оплачено",1,0)</f>
        <v>0</v>
      </c>
      <c r="X248" s="6" t="n">
        <f aca="false">IF(OR(T248="Не дозвонились",Y248=0),0,1)</f>
        <v>0</v>
      </c>
      <c r="Y248" s="6" t="n">
        <v>1</v>
      </c>
      <c r="Z248" s="6"/>
      <c r="AA248" s="6"/>
      <c r="AB248" s="6" t="s">
        <v>282</v>
      </c>
    </row>
    <row r="249" customFormat="false" ht="15" hidden="false" customHeight="false" outlineLevel="0" collapsed="false">
      <c r="A249" s="6" t="n">
        <v>248</v>
      </c>
      <c r="B249" s="6" t="s">
        <v>30</v>
      </c>
      <c r="C249" s="6" t="s">
        <v>1082</v>
      </c>
      <c r="D249" s="13" t="n">
        <v>46219</v>
      </c>
      <c r="E249" s="6" t="n">
        <f aca="false">MONTH(D249)</f>
        <v>7</v>
      </c>
      <c r="F249" s="6" t="s">
        <v>1083</v>
      </c>
      <c r="G249" s="6" t="s">
        <v>1084</v>
      </c>
      <c r="H249" s="6" t="s">
        <v>161</v>
      </c>
      <c r="I249" s="6" t="s">
        <v>34</v>
      </c>
      <c r="J249" s="6" t="s">
        <v>214</v>
      </c>
      <c r="K249" s="6" t="s">
        <v>133</v>
      </c>
      <c r="L249" s="13"/>
      <c r="M249" s="6" t="n">
        <v>0</v>
      </c>
      <c r="N249" s="13"/>
      <c r="O249" s="6" t="n">
        <v>0</v>
      </c>
      <c r="P249" s="6"/>
      <c r="Q249" s="8"/>
      <c r="R249" s="6"/>
      <c r="S249" s="8" t="str">
        <f aca="false">IF(Q249="","",IF(R249="EUR",ROUND(Q249*Параметры!$B$3,0),Q249))</f>
        <v/>
      </c>
      <c r="T249" s="6" t="s">
        <v>71</v>
      </c>
      <c r="U249" s="6" t="s">
        <v>72</v>
      </c>
      <c r="V249" s="13"/>
      <c r="W249" s="6" t="n">
        <f aca="false">IF(T249="Оплачено",1,0)</f>
        <v>0</v>
      </c>
      <c r="X249" s="6" t="n">
        <f aca="false">IF(OR(T249="Не дозвонились",Y249=0),0,1)</f>
        <v>1</v>
      </c>
      <c r="Y249" s="6" t="n">
        <v>1</v>
      </c>
      <c r="Z249" s="6"/>
      <c r="AA249" s="6"/>
      <c r="AB249" s="6" t="s">
        <v>987</v>
      </c>
    </row>
    <row r="250" customFormat="false" ht="15" hidden="false" customHeight="false" outlineLevel="0" collapsed="false">
      <c r="A250" s="6" t="n">
        <v>249</v>
      </c>
      <c r="B250" s="6" t="s">
        <v>30</v>
      </c>
      <c r="C250" s="6" t="s">
        <v>1085</v>
      </c>
      <c r="D250" s="13" t="n">
        <v>46219</v>
      </c>
      <c r="E250" s="6" t="n">
        <f aca="false">MONTH(D250)</f>
        <v>7</v>
      </c>
      <c r="F250" s="6" t="s">
        <v>1086</v>
      </c>
      <c r="G250" s="6" t="s">
        <v>1087</v>
      </c>
      <c r="H250" s="6" t="s">
        <v>243</v>
      </c>
      <c r="I250" s="6" t="s">
        <v>34</v>
      </c>
      <c r="J250" s="6" t="s">
        <v>273</v>
      </c>
      <c r="K250" s="6" t="s">
        <v>625</v>
      </c>
      <c r="L250" s="13"/>
      <c r="M250" s="6" t="n">
        <v>0</v>
      </c>
      <c r="N250" s="13"/>
      <c r="O250" s="6" t="n">
        <v>0</v>
      </c>
      <c r="P250" s="6"/>
      <c r="Q250" s="8"/>
      <c r="R250" s="6"/>
      <c r="S250" s="8" t="str">
        <f aca="false">IF(Q250="","",IF(R250="EUR",ROUND(Q250*Параметры!$B$3,0),Q250))</f>
        <v/>
      </c>
      <c r="T250" s="6" t="s">
        <v>71</v>
      </c>
      <c r="U250" s="6" t="s">
        <v>225</v>
      </c>
      <c r="V250" s="13"/>
      <c r="W250" s="6" t="n">
        <f aca="false">IF(T250="Оплачено",1,0)</f>
        <v>0</v>
      </c>
      <c r="X250" s="6" t="n">
        <f aca="false">IF(OR(T250="Не дозвонились",Y250=0),0,1)</f>
        <v>1</v>
      </c>
      <c r="Y250" s="6" t="n">
        <v>1</v>
      </c>
      <c r="Z250" s="6"/>
      <c r="AA250" s="6"/>
      <c r="AB250" s="6" t="s">
        <v>209</v>
      </c>
    </row>
    <row r="251" customFormat="false" ht="15" hidden="false" customHeight="false" outlineLevel="0" collapsed="false">
      <c r="A251" s="6" t="n">
        <v>250</v>
      </c>
      <c r="B251" s="6" t="s">
        <v>30</v>
      </c>
      <c r="C251" s="6" t="s">
        <v>1088</v>
      </c>
      <c r="D251" s="13" t="n">
        <v>46219</v>
      </c>
      <c r="E251" s="6" t="n">
        <f aca="false">MONTH(D251)</f>
        <v>7</v>
      </c>
      <c r="F251" s="6" t="s">
        <v>1089</v>
      </c>
      <c r="G251" s="6" t="s">
        <v>1090</v>
      </c>
      <c r="H251" s="6" t="s">
        <v>96</v>
      </c>
      <c r="I251" s="6" t="s">
        <v>35</v>
      </c>
      <c r="J251" s="6" t="s">
        <v>276</v>
      </c>
      <c r="K251" s="6" t="s">
        <v>1091</v>
      </c>
      <c r="L251" s="13"/>
      <c r="M251" s="6" t="n">
        <v>0</v>
      </c>
      <c r="N251" s="13"/>
      <c r="O251" s="6" t="n">
        <v>0</v>
      </c>
      <c r="P251" s="6"/>
      <c r="Q251" s="8"/>
      <c r="R251" s="6"/>
      <c r="S251" s="8" t="str">
        <f aca="false">IF(Q251="","",IF(R251="EUR",ROUND(Q251*Параметры!$B$3,0),Q251))</f>
        <v/>
      </c>
      <c r="T251" s="6" t="s">
        <v>150</v>
      </c>
      <c r="U251" s="6" t="s">
        <v>151</v>
      </c>
      <c r="V251" s="13"/>
      <c r="W251" s="6" t="n">
        <f aca="false">IF(T251="Оплачено",1,0)</f>
        <v>0</v>
      </c>
      <c r="X251" s="6" t="n">
        <f aca="false">IF(OR(T251="Не дозвонились",Y251=0),0,1)</f>
        <v>1</v>
      </c>
      <c r="Y251" s="6" t="n">
        <v>1</v>
      </c>
      <c r="Z251" s="6"/>
      <c r="AA251" s="6"/>
      <c r="AB251" s="6" t="s">
        <v>235</v>
      </c>
    </row>
    <row r="252" customFormat="false" ht="15" hidden="false" customHeight="false" outlineLevel="0" collapsed="false">
      <c r="A252" s="6" t="n">
        <v>251</v>
      </c>
      <c r="B252" s="6" t="s">
        <v>30</v>
      </c>
      <c r="C252" s="6" t="s">
        <v>1092</v>
      </c>
      <c r="D252" s="13" t="n">
        <v>46219</v>
      </c>
      <c r="E252" s="6" t="n">
        <f aca="false">MONTH(D252)</f>
        <v>7</v>
      </c>
      <c r="F252" s="6" t="s">
        <v>1093</v>
      </c>
      <c r="G252" s="6"/>
      <c r="H252" s="6" t="s">
        <v>1094</v>
      </c>
      <c r="I252" s="6" t="s">
        <v>35</v>
      </c>
      <c r="J252" s="6" t="s">
        <v>148</v>
      </c>
      <c r="K252" s="6" t="s">
        <v>1091</v>
      </c>
      <c r="L252" s="13"/>
      <c r="M252" s="6" t="n">
        <v>0</v>
      </c>
      <c r="N252" s="13"/>
      <c r="O252" s="6" t="n">
        <v>0</v>
      </c>
      <c r="P252" s="6"/>
      <c r="Q252" s="8"/>
      <c r="R252" s="6"/>
      <c r="S252" s="8" t="str">
        <f aca="false">IF(Q252="","",IF(R252="EUR",ROUND(Q252*Параметры!$B$3,0),Q252))</f>
        <v/>
      </c>
      <c r="T252" s="6" t="s">
        <v>71</v>
      </c>
      <c r="U252" s="6" t="s">
        <v>72</v>
      </c>
      <c r="V252" s="13"/>
      <c r="W252" s="6" t="n">
        <f aca="false">IF(T252="Оплачено",1,0)</f>
        <v>0</v>
      </c>
      <c r="X252" s="6" t="n">
        <f aca="false">IF(OR(T252="Не дозвонились",Y252=0),0,1)</f>
        <v>1</v>
      </c>
      <c r="Y252" s="6" t="n">
        <v>1</v>
      </c>
      <c r="Z252" s="6"/>
      <c r="AA252" s="6"/>
      <c r="AB252" s="6" t="s">
        <v>987</v>
      </c>
    </row>
    <row r="253" customFormat="false" ht="15" hidden="false" customHeight="false" outlineLevel="0" collapsed="false">
      <c r="A253" s="6" t="n">
        <v>252</v>
      </c>
      <c r="B253" s="6" t="s">
        <v>28</v>
      </c>
      <c r="C253" s="6" t="s">
        <v>1095</v>
      </c>
      <c r="D253" s="13" t="n">
        <v>46220</v>
      </c>
      <c r="E253" s="6" t="n">
        <f aca="false">MONTH(D253)</f>
        <v>7</v>
      </c>
      <c r="F253" s="6" t="s">
        <v>1096</v>
      </c>
      <c r="G253" s="6" t="s">
        <v>1097</v>
      </c>
      <c r="H253" s="6" t="s">
        <v>191</v>
      </c>
      <c r="I253" s="6" t="s">
        <v>34</v>
      </c>
      <c r="J253" s="6" t="s">
        <v>34</v>
      </c>
      <c r="K253" s="6" t="s">
        <v>98</v>
      </c>
      <c r="L253" s="13"/>
      <c r="M253" s="6" t="n">
        <v>0</v>
      </c>
      <c r="N253" s="13"/>
      <c r="O253" s="6" t="n">
        <v>0</v>
      </c>
      <c r="P253" s="6"/>
      <c r="Q253" s="8"/>
      <c r="R253" s="6"/>
      <c r="S253" s="8" t="str">
        <f aca="false">IF(Q253="","",IF(R253="EUR",ROUND(Q253*Параметры!$B$3,0),Q253))</f>
        <v/>
      </c>
      <c r="T253" s="6" t="s">
        <v>71</v>
      </c>
      <c r="U253" s="6" t="s">
        <v>71</v>
      </c>
      <c r="V253" s="13"/>
      <c r="W253" s="6" t="n">
        <f aca="false">IF(T253="Оплачено",1,0)</f>
        <v>0</v>
      </c>
      <c r="X253" s="6" t="n">
        <f aca="false">IF(OR(T253="Не дозвонились",Y253=0),0,1)</f>
        <v>1</v>
      </c>
      <c r="Y253" s="6" t="n">
        <v>1</v>
      </c>
      <c r="Z253" s="6"/>
      <c r="AA253" s="6"/>
      <c r="AB253" s="6" t="s">
        <v>180</v>
      </c>
    </row>
    <row r="254" customFormat="false" ht="15" hidden="false" customHeight="false" outlineLevel="0" collapsed="false">
      <c r="A254" s="6" t="n">
        <v>253</v>
      </c>
      <c r="B254" s="6" t="s">
        <v>28</v>
      </c>
      <c r="C254" s="6" t="s">
        <v>1098</v>
      </c>
      <c r="D254" s="13" t="n">
        <v>46220</v>
      </c>
      <c r="E254" s="6" t="n">
        <f aca="false">MONTH(D254)</f>
        <v>7</v>
      </c>
      <c r="F254" s="6" t="s">
        <v>1099</v>
      </c>
      <c r="G254" s="6" t="s">
        <v>1100</v>
      </c>
      <c r="H254" s="6" t="s">
        <v>197</v>
      </c>
      <c r="I254" s="6" t="s">
        <v>38</v>
      </c>
      <c r="J254" s="6" t="s">
        <v>38</v>
      </c>
      <c r="K254" s="6" t="s">
        <v>202</v>
      </c>
      <c r="L254" s="13" t="n">
        <v>46224</v>
      </c>
      <c r="M254" s="6" t="n">
        <v>1</v>
      </c>
      <c r="N254" s="13" t="n">
        <v>46224</v>
      </c>
      <c r="O254" s="6" t="n">
        <v>1</v>
      </c>
      <c r="P254" s="6" t="s">
        <v>1101</v>
      </c>
      <c r="Q254" s="8" t="n">
        <v>40500</v>
      </c>
      <c r="R254" s="6" t="s">
        <v>89</v>
      </c>
      <c r="S254" s="8" t="n">
        <f aca="false">IF(Q254="","",IF(R254="EUR",ROUND(Q254*Параметры!$B$3,0),Q254))</f>
        <v>40500</v>
      </c>
      <c r="T254" s="6" t="s">
        <v>15</v>
      </c>
      <c r="U254" s="6" t="s">
        <v>15</v>
      </c>
      <c r="V254" s="13" t="n">
        <v>46228</v>
      </c>
      <c r="W254" s="6" t="n">
        <f aca="false">IF(T254="Оплачено",1,0)</f>
        <v>1</v>
      </c>
      <c r="X254" s="6" t="n">
        <f aca="false">IF(OR(T254="Не дозвонились",Y254=0),0,1)</f>
        <v>1</v>
      </c>
      <c r="Y254" s="6" t="n">
        <v>1</v>
      </c>
      <c r="Z254" s="6"/>
      <c r="AA254" s="6"/>
      <c r="AB254" s="6"/>
    </row>
    <row r="255" customFormat="false" ht="15" hidden="false" customHeight="false" outlineLevel="0" collapsed="false">
      <c r="A255" s="6" t="n">
        <v>254</v>
      </c>
      <c r="B255" s="6" t="s">
        <v>28</v>
      </c>
      <c r="C255" s="6" t="s">
        <v>1102</v>
      </c>
      <c r="D255" s="13" t="n">
        <v>46220</v>
      </c>
      <c r="E255" s="6" t="n">
        <f aca="false">MONTH(D255)</f>
        <v>7</v>
      </c>
      <c r="F255" s="6" t="s">
        <v>1103</v>
      </c>
      <c r="G255" s="6" t="s">
        <v>1104</v>
      </c>
      <c r="H255" s="6" t="s">
        <v>161</v>
      </c>
      <c r="I255" s="6" t="s">
        <v>36</v>
      </c>
      <c r="J255" s="6" t="s">
        <v>36</v>
      </c>
      <c r="K255" s="6" t="s">
        <v>104</v>
      </c>
      <c r="L255" s="13" t="n">
        <v>46224</v>
      </c>
      <c r="M255" s="6" t="n">
        <v>1</v>
      </c>
      <c r="N255" s="13" t="n">
        <v>46225</v>
      </c>
      <c r="O255" s="6" t="n">
        <v>1</v>
      </c>
      <c r="P255" s="6" t="s">
        <v>1105</v>
      </c>
      <c r="Q255" s="8" t="n">
        <v>6300</v>
      </c>
      <c r="R255" s="6" t="s">
        <v>89</v>
      </c>
      <c r="S255" s="8" t="n">
        <f aca="false">IF(Q255="","",IF(R255="EUR",ROUND(Q255*Параметры!$B$3,0),Q255))</f>
        <v>6300</v>
      </c>
      <c r="T255" s="6" t="s">
        <v>15</v>
      </c>
      <c r="U255" s="6" t="s">
        <v>15</v>
      </c>
      <c r="V255" s="13" t="n">
        <v>46240</v>
      </c>
      <c r="W255" s="6" t="n">
        <f aca="false">IF(T255="Оплачено",1,0)</f>
        <v>1</v>
      </c>
      <c r="X255" s="6" t="n">
        <f aca="false">IF(OR(T255="Не дозвонились",Y255=0),0,1)</f>
        <v>1</v>
      </c>
      <c r="Y255" s="6" t="n">
        <v>1</v>
      </c>
      <c r="Z255" s="6"/>
      <c r="AA255" s="6"/>
      <c r="AB255" s="6"/>
    </row>
    <row r="256" customFormat="false" ht="15" hidden="false" customHeight="false" outlineLevel="0" collapsed="false">
      <c r="A256" s="6" t="n">
        <v>255</v>
      </c>
      <c r="B256" s="6" t="s">
        <v>30</v>
      </c>
      <c r="C256" s="6" t="s">
        <v>1106</v>
      </c>
      <c r="D256" s="13" t="n">
        <v>46220</v>
      </c>
      <c r="E256" s="6" t="n">
        <f aca="false">MONTH(D256)</f>
        <v>7</v>
      </c>
      <c r="F256" s="6" t="s">
        <v>1107</v>
      </c>
      <c r="G256" s="6" t="s">
        <v>1108</v>
      </c>
      <c r="H256" s="6" t="s">
        <v>243</v>
      </c>
      <c r="I256" s="6" t="s">
        <v>37</v>
      </c>
      <c r="J256" s="6" t="s">
        <v>598</v>
      </c>
      <c r="K256" s="6" t="s">
        <v>666</v>
      </c>
      <c r="L256" s="13" t="n">
        <v>46222</v>
      </c>
      <c r="M256" s="6" t="n">
        <v>1</v>
      </c>
      <c r="N256" s="13" t="n">
        <v>46223</v>
      </c>
      <c r="O256" s="6" t="n">
        <v>1</v>
      </c>
      <c r="P256" s="6" t="s">
        <v>654</v>
      </c>
      <c r="Q256" s="8" t="n">
        <v>14300</v>
      </c>
      <c r="R256" s="6" t="s">
        <v>89</v>
      </c>
      <c r="S256" s="8" t="n">
        <f aca="false">IF(Q256="","",IF(R256="EUR",ROUND(Q256*Параметры!$B$3,0),Q256))</f>
        <v>14300</v>
      </c>
      <c r="T256" s="6" t="s">
        <v>15</v>
      </c>
      <c r="U256" s="6" t="s">
        <v>1109</v>
      </c>
      <c r="V256" s="13" t="n">
        <v>46227</v>
      </c>
      <c r="W256" s="6" t="n">
        <f aca="false">IF(T256="Оплачено",1,0)</f>
        <v>1</v>
      </c>
      <c r="X256" s="6" t="n">
        <f aca="false">IF(OR(T256="Не дозвонились",Y256=0),0,1)</f>
        <v>1</v>
      </c>
      <c r="Y256" s="6" t="n">
        <v>1</v>
      </c>
      <c r="Z256" s="6"/>
      <c r="AA256" s="6" t="s">
        <v>1110</v>
      </c>
      <c r="AB256" s="6" t="s">
        <v>987</v>
      </c>
    </row>
    <row r="257" customFormat="false" ht="15" hidden="false" customHeight="false" outlineLevel="0" collapsed="false">
      <c r="A257" s="6" t="n">
        <v>256</v>
      </c>
      <c r="B257" s="6" t="s">
        <v>28</v>
      </c>
      <c r="C257" s="6" t="s">
        <v>1111</v>
      </c>
      <c r="D257" s="13" t="n">
        <v>46221</v>
      </c>
      <c r="E257" s="6" t="n">
        <f aca="false">MONTH(D257)</f>
        <v>7</v>
      </c>
      <c r="F257" s="6" t="s">
        <v>1112</v>
      </c>
      <c r="G257" s="6" t="s">
        <v>1113</v>
      </c>
      <c r="H257" s="6" t="s">
        <v>155</v>
      </c>
      <c r="I257" s="6" t="s">
        <v>34</v>
      </c>
      <c r="J257" s="6" t="s">
        <v>34</v>
      </c>
      <c r="K257" s="6" t="s">
        <v>287</v>
      </c>
      <c r="L257" s="13" t="n">
        <v>46223</v>
      </c>
      <c r="M257" s="6" t="n">
        <v>1</v>
      </c>
      <c r="N257" s="13" t="n">
        <v>46224</v>
      </c>
      <c r="O257" s="6" t="n">
        <v>1</v>
      </c>
      <c r="P257" s="6" t="s">
        <v>712</v>
      </c>
      <c r="Q257" s="8" t="n">
        <v>15300</v>
      </c>
      <c r="R257" s="6" t="s">
        <v>89</v>
      </c>
      <c r="S257" s="8" t="n">
        <f aca="false">IF(Q257="","",IF(R257="EUR",ROUND(Q257*Параметры!$B$3,0),Q257))</f>
        <v>15300</v>
      </c>
      <c r="T257" s="6" t="s">
        <v>71</v>
      </c>
      <c r="U257" s="6" t="s">
        <v>71</v>
      </c>
      <c r="V257" s="13"/>
      <c r="W257" s="6" t="n">
        <f aca="false">IF(T257="Оплачено",1,0)</f>
        <v>0</v>
      </c>
      <c r="X257" s="6" t="n">
        <f aca="false">IF(OR(T257="Не дозвонились",Y257=0),0,1)</f>
        <v>1</v>
      </c>
      <c r="Y257" s="6" t="n">
        <v>1</v>
      </c>
      <c r="Z257" s="6"/>
      <c r="AA257" s="6"/>
      <c r="AB257" s="6" t="s">
        <v>235</v>
      </c>
    </row>
    <row r="258" customFormat="false" ht="15" hidden="false" customHeight="false" outlineLevel="0" collapsed="false">
      <c r="A258" s="6" t="n">
        <v>257</v>
      </c>
      <c r="B258" s="6" t="s">
        <v>28</v>
      </c>
      <c r="C258" s="6" t="s">
        <v>1114</v>
      </c>
      <c r="D258" s="13" t="n">
        <v>46221</v>
      </c>
      <c r="E258" s="6" t="n">
        <f aca="false">MONTH(D258)</f>
        <v>7</v>
      </c>
      <c r="F258" s="6" t="s">
        <v>1115</v>
      </c>
      <c r="G258" s="6" t="s">
        <v>1116</v>
      </c>
      <c r="H258" s="6" t="s">
        <v>103</v>
      </c>
      <c r="I258" s="6" t="s">
        <v>34</v>
      </c>
      <c r="J258" s="6" t="s">
        <v>97</v>
      </c>
      <c r="K258" s="6" t="s">
        <v>314</v>
      </c>
      <c r="L258" s="13" t="n">
        <v>46227</v>
      </c>
      <c r="M258" s="6" t="n">
        <v>1</v>
      </c>
      <c r="N258" s="13" t="n">
        <v>46228</v>
      </c>
      <c r="O258" s="6" t="n">
        <v>1</v>
      </c>
      <c r="P258" s="6" t="s">
        <v>1117</v>
      </c>
      <c r="Q258" s="8" t="n">
        <v>63400</v>
      </c>
      <c r="R258" s="6" t="s">
        <v>89</v>
      </c>
      <c r="S258" s="8" t="n">
        <f aca="false">IF(Q258="","",IF(R258="EUR",ROUND(Q258*Параметры!$B$3,0),Q258))</f>
        <v>63400</v>
      </c>
      <c r="T258" s="6" t="s">
        <v>15</v>
      </c>
      <c r="U258" s="6" t="s">
        <v>15</v>
      </c>
      <c r="V258" s="13" t="n">
        <v>46238</v>
      </c>
      <c r="W258" s="6" t="n">
        <f aca="false">IF(T258="Оплачено",1,0)</f>
        <v>1</v>
      </c>
      <c r="X258" s="6" t="n">
        <f aca="false">IF(OR(T258="Не дозвонились",Y258=0),0,1)</f>
        <v>1</v>
      </c>
      <c r="Y258" s="6" t="n">
        <v>1</v>
      </c>
      <c r="Z258" s="6"/>
      <c r="AA258" s="6"/>
      <c r="AB258" s="6" t="s">
        <v>106</v>
      </c>
    </row>
    <row r="259" customFormat="false" ht="15" hidden="false" customHeight="false" outlineLevel="0" collapsed="false">
      <c r="A259" s="6" t="n">
        <v>258</v>
      </c>
      <c r="B259" s="6" t="s">
        <v>28</v>
      </c>
      <c r="C259" s="6" t="s">
        <v>1118</v>
      </c>
      <c r="D259" s="13" t="n">
        <v>46221</v>
      </c>
      <c r="E259" s="6" t="n">
        <f aca="false">MONTH(D259)</f>
        <v>7</v>
      </c>
      <c r="F259" s="6" t="s">
        <v>1119</v>
      </c>
      <c r="G259" s="6" t="s">
        <v>1120</v>
      </c>
      <c r="H259" s="6" t="s">
        <v>286</v>
      </c>
      <c r="I259" s="6" t="s">
        <v>35</v>
      </c>
      <c r="J259" s="6" t="s">
        <v>35</v>
      </c>
      <c r="K259" s="6" t="s">
        <v>202</v>
      </c>
      <c r="L259" s="13"/>
      <c r="M259" s="6" t="n">
        <v>0</v>
      </c>
      <c r="N259" s="13"/>
      <c r="O259" s="6" t="n">
        <v>0</v>
      </c>
      <c r="P259" s="6"/>
      <c r="Q259" s="8"/>
      <c r="R259" s="6"/>
      <c r="S259" s="8" t="str">
        <f aca="false">IF(Q259="","",IF(R259="EUR",ROUND(Q259*Параметры!$B$3,0),Q259))</f>
        <v/>
      </c>
      <c r="T259" s="6" t="s">
        <v>71</v>
      </c>
      <c r="U259" s="6" t="s">
        <v>71</v>
      </c>
      <c r="V259" s="13"/>
      <c r="W259" s="6" t="n">
        <f aca="false">IF(T259="Оплачено",1,0)</f>
        <v>0</v>
      </c>
      <c r="X259" s="6" t="n">
        <f aca="false">IF(OR(T259="Не дозвонились",Y259=0),0,1)</f>
        <v>1</v>
      </c>
      <c r="Y259" s="6" t="n">
        <v>1</v>
      </c>
      <c r="Z259" s="6"/>
      <c r="AA259" s="6"/>
      <c r="AB259" s="6" t="s">
        <v>325</v>
      </c>
    </row>
    <row r="260" customFormat="false" ht="15" hidden="false" customHeight="false" outlineLevel="0" collapsed="false">
      <c r="A260" s="6" t="n">
        <v>259</v>
      </c>
      <c r="B260" s="6" t="s">
        <v>29</v>
      </c>
      <c r="C260" s="6" t="s">
        <v>1121</v>
      </c>
      <c r="D260" s="13" t="n">
        <v>46221</v>
      </c>
      <c r="E260" s="6" t="n">
        <f aca="false">MONTH(D260)</f>
        <v>7</v>
      </c>
      <c r="F260" s="6" t="s">
        <v>1122</v>
      </c>
      <c r="G260" s="6" t="s">
        <v>1123</v>
      </c>
      <c r="H260" s="6" t="s">
        <v>121</v>
      </c>
      <c r="I260" s="6" t="s">
        <v>34</v>
      </c>
      <c r="J260" s="6" t="s">
        <v>383</v>
      </c>
      <c r="K260" s="6" t="s">
        <v>70</v>
      </c>
      <c r="L260" s="13"/>
      <c r="M260" s="6" t="n">
        <v>0</v>
      </c>
      <c r="N260" s="13"/>
      <c r="O260" s="6" t="n">
        <v>0</v>
      </c>
      <c r="P260" s="6"/>
      <c r="Q260" s="8"/>
      <c r="R260" s="6"/>
      <c r="S260" s="8" t="str">
        <f aca="false">IF(Q260="","",IF(R260="EUR",ROUND(Q260*Параметры!$B$3,0),Q260))</f>
        <v/>
      </c>
      <c r="T260" s="6" t="s">
        <v>80</v>
      </c>
      <c r="U260" s="6" t="s">
        <v>117</v>
      </c>
      <c r="V260" s="13"/>
      <c r="W260" s="6" t="n">
        <f aca="false">IF(T260="Оплачено",1,0)</f>
        <v>0</v>
      </c>
      <c r="X260" s="6" t="n">
        <f aca="false">IF(OR(T260="Не дозвонились",Y260=0),0,1)</f>
        <v>0</v>
      </c>
      <c r="Y260" s="6" t="n">
        <v>1</v>
      </c>
      <c r="Z260" s="6"/>
      <c r="AA260" s="6"/>
      <c r="AB260" s="6"/>
    </row>
    <row r="261" customFormat="false" ht="15" hidden="false" customHeight="false" outlineLevel="0" collapsed="false">
      <c r="A261" s="6" t="n">
        <v>260</v>
      </c>
      <c r="B261" s="6" t="s">
        <v>30</v>
      </c>
      <c r="C261" s="6" t="s">
        <v>1124</v>
      </c>
      <c r="D261" s="13" t="n">
        <v>46221</v>
      </c>
      <c r="E261" s="6" t="n">
        <f aca="false">MONTH(D261)</f>
        <v>7</v>
      </c>
      <c r="F261" s="6" t="s">
        <v>596</v>
      </c>
      <c r="G261" s="6" t="s">
        <v>1125</v>
      </c>
      <c r="H261" s="6" t="s">
        <v>324</v>
      </c>
      <c r="I261" s="6" t="s">
        <v>36</v>
      </c>
      <c r="J261" s="6" t="s">
        <v>727</v>
      </c>
      <c r="K261" s="6" t="s">
        <v>79</v>
      </c>
      <c r="L261" s="13" t="n">
        <v>46224</v>
      </c>
      <c r="M261" s="6" t="n">
        <v>1</v>
      </c>
      <c r="N261" s="13" t="n">
        <v>46225</v>
      </c>
      <c r="O261" s="6" t="n">
        <v>1</v>
      </c>
      <c r="P261" s="6" t="s">
        <v>1126</v>
      </c>
      <c r="Q261" s="8" t="n">
        <v>41300</v>
      </c>
      <c r="R261" s="6" t="s">
        <v>89</v>
      </c>
      <c r="S261" s="8" t="n">
        <f aca="false">IF(Q261="","",IF(R261="EUR",ROUND(Q261*Параметры!$B$3,0),Q261))</f>
        <v>41300</v>
      </c>
      <c r="T261" s="6" t="s">
        <v>15</v>
      </c>
      <c r="U261" s="6" t="s">
        <v>1074</v>
      </c>
      <c r="V261" s="13" t="n">
        <v>46238</v>
      </c>
      <c r="W261" s="6" t="n">
        <f aca="false">IF(T261="Оплачено",1,0)</f>
        <v>1</v>
      </c>
      <c r="X261" s="6" t="n">
        <f aca="false">IF(OR(T261="Не дозвонились",Y261=0),0,1)</f>
        <v>1</v>
      </c>
      <c r="Y261" s="6" t="n">
        <v>1</v>
      </c>
      <c r="Z261" s="6"/>
      <c r="AA261" s="6"/>
      <c r="AB261" s="6"/>
    </row>
    <row r="262" customFormat="false" ht="15" hidden="false" customHeight="false" outlineLevel="0" collapsed="false">
      <c r="A262" s="6" t="n">
        <v>261</v>
      </c>
      <c r="B262" s="6" t="s">
        <v>30</v>
      </c>
      <c r="C262" s="6" t="s">
        <v>1127</v>
      </c>
      <c r="D262" s="13" t="n">
        <v>46221</v>
      </c>
      <c r="E262" s="6" t="n">
        <f aca="false">MONTH(D262)</f>
        <v>7</v>
      </c>
      <c r="F262" s="6" t="s">
        <v>83</v>
      </c>
      <c r="G262" s="6" t="s">
        <v>1128</v>
      </c>
      <c r="H262" s="6" t="s">
        <v>286</v>
      </c>
      <c r="I262" s="6" t="s">
        <v>37</v>
      </c>
      <c r="J262" s="6" t="s">
        <v>598</v>
      </c>
      <c r="K262" s="6" t="s">
        <v>149</v>
      </c>
      <c r="L262" s="13" t="n">
        <v>46225</v>
      </c>
      <c r="M262" s="6" t="n">
        <v>1</v>
      </c>
      <c r="N262" s="13" t="n">
        <v>46226</v>
      </c>
      <c r="O262" s="6" t="n">
        <v>1</v>
      </c>
      <c r="P262" s="6" t="s">
        <v>418</v>
      </c>
      <c r="Q262" s="8" t="n">
        <v>22900</v>
      </c>
      <c r="R262" s="6" t="s">
        <v>89</v>
      </c>
      <c r="S262" s="8" t="n">
        <f aca="false">IF(Q262="","",IF(R262="EUR",ROUND(Q262*Параметры!$B$3,0),Q262))</f>
        <v>22900</v>
      </c>
      <c r="T262" s="6" t="s">
        <v>71</v>
      </c>
      <c r="U262" s="6" t="s">
        <v>225</v>
      </c>
      <c r="V262" s="13"/>
      <c r="W262" s="6" t="n">
        <f aca="false">IF(T262="Оплачено",1,0)</f>
        <v>0</v>
      </c>
      <c r="X262" s="6" t="n">
        <f aca="false">IF(OR(T262="Не дозвонились",Y262=0),0,1)</f>
        <v>1</v>
      </c>
      <c r="Y262" s="6" t="n">
        <v>1</v>
      </c>
      <c r="Z262" s="6"/>
      <c r="AA262" s="6"/>
      <c r="AB262" s="6" t="s">
        <v>410</v>
      </c>
    </row>
    <row r="263" customFormat="false" ht="15" hidden="false" customHeight="false" outlineLevel="0" collapsed="false">
      <c r="A263" s="6" t="n">
        <v>262</v>
      </c>
      <c r="B263" s="6" t="s">
        <v>28</v>
      </c>
      <c r="C263" s="6" t="s">
        <v>1129</v>
      </c>
      <c r="D263" s="13" t="n">
        <v>46222</v>
      </c>
      <c r="E263" s="6" t="n">
        <f aca="false">MONTH(D263)</f>
        <v>7</v>
      </c>
      <c r="F263" s="6" t="s">
        <v>1130</v>
      </c>
      <c r="G263" s="6" t="s">
        <v>1131</v>
      </c>
      <c r="H263" s="6" t="s">
        <v>155</v>
      </c>
      <c r="I263" s="6" t="s">
        <v>37</v>
      </c>
      <c r="J263" s="6" t="s">
        <v>313</v>
      </c>
      <c r="K263" s="6" t="s">
        <v>156</v>
      </c>
      <c r="L263" s="13"/>
      <c r="M263" s="6" t="n">
        <v>0</v>
      </c>
      <c r="N263" s="13"/>
      <c r="O263" s="6" t="n">
        <v>0</v>
      </c>
      <c r="P263" s="6"/>
      <c r="Q263" s="8"/>
      <c r="R263" s="6"/>
      <c r="S263" s="8" t="str">
        <f aca="false">IF(Q263="","",IF(R263="EUR",ROUND(Q263*Параметры!$B$3,0),Q263))</f>
        <v/>
      </c>
      <c r="T263" s="6" t="s">
        <v>80</v>
      </c>
      <c r="U263" s="6" t="s">
        <v>163</v>
      </c>
      <c r="V263" s="13"/>
      <c r="W263" s="6" t="n">
        <f aca="false">IF(T263="Оплачено",1,0)</f>
        <v>0</v>
      </c>
      <c r="X263" s="6" t="n">
        <f aca="false">IF(OR(T263="Не дозвонились",Y263=0),0,1)</f>
        <v>0</v>
      </c>
      <c r="Y263" s="6" t="n">
        <v>1</v>
      </c>
      <c r="Z263" s="6"/>
      <c r="AA263" s="6"/>
      <c r="AB263" s="6"/>
    </row>
    <row r="264" customFormat="false" ht="15" hidden="false" customHeight="false" outlineLevel="0" collapsed="false">
      <c r="A264" s="6" t="n">
        <v>263</v>
      </c>
      <c r="B264" s="6" t="s">
        <v>28</v>
      </c>
      <c r="C264" s="6" t="s">
        <v>1132</v>
      </c>
      <c r="D264" s="13" t="n">
        <v>46222</v>
      </c>
      <c r="E264" s="6" t="n">
        <f aca="false">MONTH(D264)</f>
        <v>7</v>
      </c>
      <c r="F264" s="6" t="s">
        <v>1133</v>
      </c>
      <c r="G264" s="6" t="s">
        <v>1134</v>
      </c>
      <c r="H264" s="6" t="s">
        <v>309</v>
      </c>
      <c r="I264" s="6" t="s">
        <v>34</v>
      </c>
      <c r="J264" s="6" t="s">
        <v>34</v>
      </c>
      <c r="K264" s="6" t="s">
        <v>162</v>
      </c>
      <c r="L264" s="13" t="n">
        <v>46223</v>
      </c>
      <c r="M264" s="6" t="n">
        <v>1</v>
      </c>
      <c r="N264" s="13" t="n">
        <v>46223</v>
      </c>
      <c r="O264" s="6" t="n">
        <v>1</v>
      </c>
      <c r="P264" s="6" t="s">
        <v>1135</v>
      </c>
      <c r="Q264" s="8" t="n">
        <v>28500</v>
      </c>
      <c r="R264" s="6" t="s">
        <v>89</v>
      </c>
      <c r="S264" s="8" t="n">
        <f aca="false">IF(Q264="","",IF(R264="EUR",ROUND(Q264*Параметры!$B$3,0),Q264))</f>
        <v>28500</v>
      </c>
      <c r="T264" s="6" t="s">
        <v>71</v>
      </c>
      <c r="U264" s="6" t="s">
        <v>71</v>
      </c>
      <c r="V264" s="13"/>
      <c r="W264" s="6" t="n">
        <f aca="false">IF(T264="Оплачено",1,0)</f>
        <v>0</v>
      </c>
      <c r="X264" s="6" t="n">
        <f aca="false">IF(OR(T264="Не дозвонились",Y264=0),0,1)</f>
        <v>1</v>
      </c>
      <c r="Y264" s="6" t="n">
        <v>1</v>
      </c>
      <c r="Z264" s="6"/>
      <c r="AA264" s="6"/>
      <c r="AB264" s="6" t="s">
        <v>235</v>
      </c>
    </row>
    <row r="265" customFormat="false" ht="15" hidden="false" customHeight="false" outlineLevel="0" collapsed="false">
      <c r="A265" s="6" t="n">
        <v>264</v>
      </c>
      <c r="B265" s="6" t="s">
        <v>28</v>
      </c>
      <c r="C265" s="6" t="s">
        <v>1136</v>
      </c>
      <c r="D265" s="13" t="n">
        <v>46222</v>
      </c>
      <c r="E265" s="6" t="n">
        <f aca="false">MONTH(D265)</f>
        <v>7</v>
      </c>
      <c r="F265" s="6" t="s">
        <v>1137</v>
      </c>
      <c r="G265" s="6" t="s">
        <v>1138</v>
      </c>
      <c r="H265" s="6" t="s">
        <v>309</v>
      </c>
      <c r="I265" s="6" t="s">
        <v>35</v>
      </c>
      <c r="J265" s="6" t="s">
        <v>35</v>
      </c>
      <c r="K265" s="6" t="s">
        <v>202</v>
      </c>
      <c r="L265" s="13" t="n">
        <v>46223</v>
      </c>
      <c r="M265" s="6" t="n">
        <v>1</v>
      </c>
      <c r="N265" s="13" t="n">
        <v>46224</v>
      </c>
      <c r="O265" s="6" t="n">
        <v>1</v>
      </c>
      <c r="P265" s="6" t="s">
        <v>1139</v>
      </c>
      <c r="Q265" s="8" t="n">
        <v>27900</v>
      </c>
      <c r="R265" s="6" t="s">
        <v>89</v>
      </c>
      <c r="S265" s="8" t="n">
        <f aca="false">IF(Q265="","",IF(R265="EUR",ROUND(Q265*Параметры!$B$3,0),Q265))</f>
        <v>27900</v>
      </c>
      <c r="T265" s="6" t="s">
        <v>71</v>
      </c>
      <c r="U265" s="6" t="s">
        <v>71</v>
      </c>
      <c r="V265" s="13"/>
      <c r="W265" s="6" t="n">
        <f aca="false">IF(T265="Оплачено",1,0)</f>
        <v>0</v>
      </c>
      <c r="X265" s="6" t="n">
        <f aca="false">IF(OR(T265="Не дозвонились",Y265=0),0,1)</f>
        <v>1</v>
      </c>
      <c r="Y265" s="6" t="n">
        <v>1</v>
      </c>
      <c r="Z265" s="6"/>
      <c r="AA265" s="6"/>
      <c r="AB265" s="6"/>
    </row>
    <row r="266" customFormat="false" ht="15" hidden="false" customHeight="false" outlineLevel="0" collapsed="false">
      <c r="A266" s="6" t="n">
        <v>265</v>
      </c>
      <c r="B266" s="6" t="s">
        <v>28</v>
      </c>
      <c r="C266" s="6" t="s">
        <v>1140</v>
      </c>
      <c r="D266" s="13" t="n">
        <v>46223</v>
      </c>
      <c r="E266" s="6" t="n">
        <f aca="false">MONTH(D266)</f>
        <v>7</v>
      </c>
      <c r="F266" s="6" t="s">
        <v>1141</v>
      </c>
      <c r="G266" s="6" t="s">
        <v>1142</v>
      </c>
      <c r="H266" s="6" t="s">
        <v>103</v>
      </c>
      <c r="I266" s="6" t="s">
        <v>36</v>
      </c>
      <c r="J266" s="6" t="s">
        <v>36</v>
      </c>
      <c r="K266" s="6" t="s">
        <v>162</v>
      </c>
      <c r="L266" s="13" t="n">
        <v>46227</v>
      </c>
      <c r="M266" s="6" t="n">
        <v>1</v>
      </c>
      <c r="N266" s="13" t="n">
        <v>46228</v>
      </c>
      <c r="O266" s="6" t="n">
        <v>1</v>
      </c>
      <c r="P266" s="6" t="s">
        <v>1143</v>
      </c>
      <c r="Q266" s="8" t="n">
        <v>30700</v>
      </c>
      <c r="R266" s="6" t="s">
        <v>89</v>
      </c>
      <c r="S266" s="8" t="n">
        <f aca="false">IF(Q266="","",IF(R266="EUR",ROUND(Q266*Параметры!$B$3,0),Q266))</f>
        <v>30700</v>
      </c>
      <c r="T266" s="6" t="s">
        <v>71</v>
      </c>
      <c r="U266" s="6" t="s">
        <v>71</v>
      </c>
      <c r="V266" s="13"/>
      <c r="W266" s="6" t="n">
        <f aca="false">IF(T266="Оплачено",1,0)</f>
        <v>0</v>
      </c>
      <c r="X266" s="6" t="n">
        <f aca="false">IF(OR(T266="Не дозвонились",Y266=0),0,1)</f>
        <v>1</v>
      </c>
      <c r="Y266" s="6" t="n">
        <v>1</v>
      </c>
      <c r="Z266" s="6"/>
      <c r="AA266" s="6"/>
      <c r="AB266" s="6" t="s">
        <v>1144</v>
      </c>
    </row>
    <row r="267" customFormat="false" ht="15" hidden="false" customHeight="false" outlineLevel="0" collapsed="false">
      <c r="A267" s="6" t="n">
        <v>266</v>
      </c>
      <c r="B267" s="6" t="s">
        <v>29</v>
      </c>
      <c r="C267" s="6" t="s">
        <v>1145</v>
      </c>
      <c r="D267" s="13" t="n">
        <v>46223</v>
      </c>
      <c r="E267" s="6" t="n">
        <f aca="false">MONTH(D267)</f>
        <v>7</v>
      </c>
      <c r="F267" s="6" t="s">
        <v>1146</v>
      </c>
      <c r="G267" s="6" t="s">
        <v>1147</v>
      </c>
      <c r="H267" s="6" t="s">
        <v>266</v>
      </c>
      <c r="I267" s="6" t="s">
        <v>38</v>
      </c>
      <c r="J267" s="6" t="s">
        <v>38</v>
      </c>
      <c r="K267" s="6" t="s">
        <v>1148</v>
      </c>
      <c r="L267" s="13" t="n">
        <v>46227</v>
      </c>
      <c r="M267" s="6" t="n">
        <v>1</v>
      </c>
      <c r="N267" s="13" t="n">
        <v>46235</v>
      </c>
      <c r="O267" s="6" t="n">
        <v>1</v>
      </c>
      <c r="P267" s="6" t="s">
        <v>1149</v>
      </c>
      <c r="Q267" s="8" t="n">
        <v>2400</v>
      </c>
      <c r="R267" s="6" t="s">
        <v>89</v>
      </c>
      <c r="S267" s="8" t="n">
        <f aca="false">IF(Q267="","",IF(R267="EUR",ROUND(Q267*Параметры!$B$3,0),Q267))</f>
        <v>2400</v>
      </c>
      <c r="T267" s="6" t="s">
        <v>71</v>
      </c>
      <c r="U267" s="6" t="s">
        <v>301</v>
      </c>
      <c r="V267" s="13"/>
      <c r="W267" s="6" t="n">
        <f aca="false">IF(T267="Оплачено",1,0)</f>
        <v>0</v>
      </c>
      <c r="X267" s="6" t="n">
        <f aca="false">IF(OR(T267="Не дозвонились",Y267=0),0,1)</f>
        <v>1</v>
      </c>
      <c r="Y267" s="6" t="n">
        <v>1</v>
      </c>
      <c r="Z267" s="6"/>
      <c r="AA267" s="6"/>
      <c r="AB267" s="6" t="s">
        <v>1150</v>
      </c>
    </row>
    <row r="268" customFormat="false" ht="15" hidden="false" customHeight="false" outlineLevel="0" collapsed="false">
      <c r="A268" s="6" t="n">
        <v>267</v>
      </c>
      <c r="B268" s="6" t="s">
        <v>29</v>
      </c>
      <c r="C268" s="6" t="s">
        <v>1151</v>
      </c>
      <c r="D268" s="13" t="n">
        <v>46223</v>
      </c>
      <c r="E268" s="6" t="n">
        <f aca="false">MONTH(D268)</f>
        <v>7</v>
      </c>
      <c r="F268" s="6" t="s">
        <v>1152</v>
      </c>
      <c r="G268" s="6" t="s">
        <v>1153</v>
      </c>
      <c r="H268" s="6" t="s">
        <v>1154</v>
      </c>
      <c r="I268" s="6" t="s">
        <v>35</v>
      </c>
      <c r="J268" s="6" t="s">
        <v>142</v>
      </c>
      <c r="K268" s="6" t="s">
        <v>143</v>
      </c>
      <c r="L268" s="13"/>
      <c r="M268" s="6" t="n">
        <v>0</v>
      </c>
      <c r="N268" s="13"/>
      <c r="O268" s="6" t="n">
        <v>0</v>
      </c>
      <c r="P268" s="6"/>
      <c r="Q268" s="8"/>
      <c r="R268" s="6"/>
      <c r="S268" s="8" t="str">
        <f aca="false">IF(Q268="","",IF(R268="EUR",ROUND(Q268*Параметры!$B$3,0),Q268))</f>
        <v/>
      </c>
      <c r="T268" s="6" t="s">
        <v>71</v>
      </c>
      <c r="U268" s="6" t="s">
        <v>72</v>
      </c>
      <c r="V268" s="13"/>
      <c r="W268" s="6" t="n">
        <f aca="false">IF(T268="Оплачено",1,0)</f>
        <v>0</v>
      </c>
      <c r="X268" s="6" t="n">
        <f aca="false">IF(OR(T268="Не дозвонились",Y268=0),0,1)</f>
        <v>1</v>
      </c>
      <c r="Y268" s="6" t="n">
        <v>1</v>
      </c>
      <c r="Z268" s="6"/>
      <c r="AA268" s="6"/>
      <c r="AB268" s="6"/>
    </row>
    <row r="269" customFormat="false" ht="15" hidden="false" customHeight="false" outlineLevel="0" collapsed="false">
      <c r="A269" s="6" t="n">
        <v>268</v>
      </c>
      <c r="B269" s="6" t="s">
        <v>29</v>
      </c>
      <c r="C269" s="6" t="s">
        <v>1155</v>
      </c>
      <c r="D269" s="13" t="n">
        <v>46223</v>
      </c>
      <c r="E269" s="6" t="n">
        <f aca="false">MONTH(D269)</f>
        <v>7</v>
      </c>
      <c r="F269" s="6" t="s">
        <v>1156</v>
      </c>
      <c r="G269" s="6" t="s">
        <v>1157</v>
      </c>
      <c r="H269" s="6" t="s">
        <v>121</v>
      </c>
      <c r="I269" s="6" t="s">
        <v>35</v>
      </c>
      <c r="J269" s="6" t="s">
        <v>142</v>
      </c>
      <c r="K269" s="6" t="s">
        <v>70</v>
      </c>
      <c r="L269" s="13"/>
      <c r="M269" s="6" t="n">
        <v>0</v>
      </c>
      <c r="N269" s="13"/>
      <c r="O269" s="6" t="n">
        <v>0</v>
      </c>
      <c r="P269" s="6"/>
      <c r="Q269" s="8"/>
      <c r="R269" s="6"/>
      <c r="S269" s="8" t="str">
        <f aca="false">IF(Q269="","",IF(R269="EUR",ROUND(Q269*Параметры!$B$3,0),Q269))</f>
        <v/>
      </c>
      <c r="T269" s="6" t="s">
        <v>80</v>
      </c>
      <c r="U269" s="6" t="s">
        <v>117</v>
      </c>
      <c r="V269" s="13"/>
      <c r="W269" s="6" t="n">
        <f aca="false">IF(T269="Оплачено",1,0)</f>
        <v>0</v>
      </c>
      <c r="X269" s="6" t="n">
        <f aca="false">IF(OR(T269="Не дозвонились",Y269=0),0,1)</f>
        <v>0</v>
      </c>
      <c r="Y269" s="6" t="n">
        <v>1</v>
      </c>
      <c r="Z269" s="6"/>
      <c r="AA269" s="6"/>
      <c r="AB269" s="6" t="s">
        <v>519</v>
      </c>
    </row>
    <row r="270" customFormat="false" ht="15" hidden="false" customHeight="false" outlineLevel="0" collapsed="false">
      <c r="A270" s="6" t="n">
        <v>269</v>
      </c>
      <c r="B270" s="6" t="s">
        <v>29</v>
      </c>
      <c r="C270" s="6" t="s">
        <v>1158</v>
      </c>
      <c r="D270" s="13" t="n">
        <v>46223</v>
      </c>
      <c r="E270" s="6" t="n">
        <f aca="false">MONTH(D270)</f>
        <v>7</v>
      </c>
      <c r="F270" s="6" t="s">
        <v>1159</v>
      </c>
      <c r="G270" s="6" t="s">
        <v>1160</v>
      </c>
      <c r="H270" s="6" t="s">
        <v>1154</v>
      </c>
      <c r="I270" s="6" t="s">
        <v>38</v>
      </c>
      <c r="J270" s="6" t="s">
        <v>174</v>
      </c>
      <c r="K270" s="6" t="s">
        <v>239</v>
      </c>
      <c r="L270" s="13"/>
      <c r="M270" s="6" t="n">
        <v>0</v>
      </c>
      <c r="N270" s="13"/>
      <c r="O270" s="6" t="n">
        <v>0</v>
      </c>
      <c r="P270" s="6"/>
      <c r="Q270" s="8"/>
      <c r="R270" s="6"/>
      <c r="S270" s="8" t="str">
        <f aca="false">IF(Q270="","",IF(R270="EUR",ROUND(Q270*Параметры!$B$3,0),Q270))</f>
        <v/>
      </c>
      <c r="T270" s="6" t="s">
        <v>80</v>
      </c>
      <c r="U270" s="6" t="s">
        <v>117</v>
      </c>
      <c r="V270" s="13"/>
      <c r="W270" s="6" t="n">
        <f aca="false">IF(T270="Оплачено",1,0)</f>
        <v>0</v>
      </c>
      <c r="X270" s="6" t="n">
        <f aca="false">IF(OR(T270="Не дозвонились",Y270=0),0,1)</f>
        <v>0</v>
      </c>
      <c r="Y270" s="6" t="n">
        <v>1</v>
      </c>
      <c r="Z270" s="6"/>
      <c r="AA270" s="6"/>
      <c r="AB270" s="6"/>
    </row>
    <row r="271" customFormat="false" ht="15" hidden="false" customHeight="false" outlineLevel="0" collapsed="false">
      <c r="A271" s="6" t="n">
        <v>270</v>
      </c>
      <c r="B271" s="6" t="s">
        <v>30</v>
      </c>
      <c r="C271" s="6" t="s">
        <v>1161</v>
      </c>
      <c r="D271" s="13" t="n">
        <v>46223</v>
      </c>
      <c r="E271" s="6" t="n">
        <f aca="false">MONTH(D271)</f>
        <v>7</v>
      </c>
      <c r="F271" s="6" t="s">
        <v>1162</v>
      </c>
      <c r="G271" s="6" t="s">
        <v>1163</v>
      </c>
      <c r="H271" s="6" t="s">
        <v>85</v>
      </c>
      <c r="I271" s="6" t="s">
        <v>34</v>
      </c>
      <c r="J271" s="6" t="s">
        <v>273</v>
      </c>
      <c r="K271" s="6" t="s">
        <v>224</v>
      </c>
      <c r="L271" s="13" t="n">
        <v>46229</v>
      </c>
      <c r="M271" s="6" t="n">
        <v>1</v>
      </c>
      <c r="N271" s="13" t="n">
        <v>46230</v>
      </c>
      <c r="O271" s="6" t="n">
        <v>1</v>
      </c>
      <c r="P271" s="6" t="s">
        <v>1164</v>
      </c>
      <c r="Q271" s="8" t="n">
        <v>25400</v>
      </c>
      <c r="R271" s="6" t="s">
        <v>89</v>
      </c>
      <c r="S271" s="8" t="n">
        <f aca="false">IF(Q271="","",IF(R271="EUR",ROUND(Q271*Параметры!$B$3,0),Q271))</f>
        <v>25400</v>
      </c>
      <c r="T271" s="6" t="s">
        <v>71</v>
      </c>
      <c r="U271" s="6" t="s">
        <v>72</v>
      </c>
      <c r="V271" s="13"/>
      <c r="W271" s="6" t="n">
        <f aca="false">IF(T271="Оплачено",1,0)</f>
        <v>0</v>
      </c>
      <c r="X271" s="6" t="n">
        <f aca="false">IF(OR(T271="Не дозвонились",Y271=0),0,1)</f>
        <v>1</v>
      </c>
      <c r="Y271" s="6" t="n">
        <v>1</v>
      </c>
      <c r="Z271" s="6"/>
      <c r="AA271" s="6" t="s">
        <v>1165</v>
      </c>
      <c r="AB271" s="6" t="s">
        <v>515</v>
      </c>
    </row>
    <row r="272" customFormat="false" ht="15" hidden="false" customHeight="false" outlineLevel="0" collapsed="false">
      <c r="A272" s="6" t="n">
        <v>271</v>
      </c>
      <c r="B272" s="6" t="s">
        <v>30</v>
      </c>
      <c r="C272" s="6" t="s">
        <v>1166</v>
      </c>
      <c r="D272" s="13" t="n">
        <v>46223</v>
      </c>
      <c r="E272" s="6" t="n">
        <f aca="false">MONTH(D272)</f>
        <v>7</v>
      </c>
      <c r="F272" s="6" t="s">
        <v>1167</v>
      </c>
      <c r="G272" s="6" t="s">
        <v>1168</v>
      </c>
      <c r="H272" s="6" t="s">
        <v>85</v>
      </c>
      <c r="I272" s="6" t="s">
        <v>34</v>
      </c>
      <c r="J272" s="6" t="s">
        <v>273</v>
      </c>
      <c r="K272" s="6" t="s">
        <v>536</v>
      </c>
      <c r="L272" s="13" t="n">
        <v>46224</v>
      </c>
      <c r="M272" s="6" t="n">
        <v>1</v>
      </c>
      <c r="N272" s="13"/>
      <c r="O272" s="6" t="n">
        <v>0</v>
      </c>
      <c r="P272" s="6"/>
      <c r="Q272" s="8"/>
      <c r="R272" s="6"/>
      <c r="S272" s="8" t="str">
        <f aca="false">IF(Q272="","",IF(R272="EUR",ROUND(Q272*Параметры!$B$3,0),Q272))</f>
        <v/>
      </c>
      <c r="T272" s="6" t="s">
        <v>150</v>
      </c>
      <c r="U272" s="6" t="s">
        <v>151</v>
      </c>
      <c r="V272" s="13"/>
      <c r="W272" s="6" t="n">
        <f aca="false">IF(T272="Оплачено",1,0)</f>
        <v>0</v>
      </c>
      <c r="X272" s="6" t="n">
        <f aca="false">IF(OR(T272="Не дозвонились",Y272=0),0,1)</f>
        <v>1</v>
      </c>
      <c r="Y272" s="6" t="n">
        <v>1</v>
      </c>
      <c r="Z272" s="6"/>
      <c r="AA272" s="6"/>
      <c r="AB272" s="6" t="s">
        <v>282</v>
      </c>
    </row>
    <row r="273" customFormat="false" ht="15" hidden="false" customHeight="false" outlineLevel="0" collapsed="false">
      <c r="A273" s="6" t="n">
        <v>272</v>
      </c>
      <c r="B273" s="6" t="s">
        <v>28</v>
      </c>
      <c r="C273" s="6" t="s">
        <v>1169</v>
      </c>
      <c r="D273" s="13" t="n">
        <v>46224</v>
      </c>
      <c r="E273" s="6" t="n">
        <f aca="false">MONTH(D273)</f>
        <v>7</v>
      </c>
      <c r="F273" s="6" t="s">
        <v>1170</v>
      </c>
      <c r="G273" s="6" t="s">
        <v>1171</v>
      </c>
      <c r="H273" s="6" t="s">
        <v>197</v>
      </c>
      <c r="I273" s="6" t="s">
        <v>37</v>
      </c>
      <c r="J273" s="6" t="s">
        <v>313</v>
      </c>
      <c r="K273" s="6" t="s">
        <v>287</v>
      </c>
      <c r="L273" s="13" t="n">
        <v>46230</v>
      </c>
      <c r="M273" s="6" t="n">
        <v>1</v>
      </c>
      <c r="N273" s="13" t="n">
        <v>46231</v>
      </c>
      <c r="O273" s="6" t="n">
        <v>1</v>
      </c>
      <c r="P273" s="6" t="s">
        <v>1172</v>
      </c>
      <c r="Q273" s="8" t="n">
        <v>9600</v>
      </c>
      <c r="R273" s="6" t="s">
        <v>89</v>
      </c>
      <c r="S273" s="8" t="n">
        <f aca="false">IF(Q273="","",IF(R273="EUR",ROUND(Q273*Параметры!$B$3,0),Q273))</f>
        <v>9600</v>
      </c>
      <c r="T273" s="6" t="s">
        <v>15</v>
      </c>
      <c r="U273" s="6" t="s">
        <v>15</v>
      </c>
      <c r="V273" s="13" t="n">
        <v>46234</v>
      </c>
      <c r="W273" s="6" t="n">
        <f aca="false">IF(T273="Оплачено",1,0)</f>
        <v>1</v>
      </c>
      <c r="X273" s="6" t="n">
        <f aca="false">IF(OR(T273="Не дозвонились",Y273=0),0,1)</f>
        <v>1</v>
      </c>
      <c r="Y273" s="6" t="n">
        <v>1</v>
      </c>
      <c r="Z273" s="6"/>
      <c r="AA273" s="6"/>
      <c r="AB273" s="6"/>
    </row>
    <row r="274" customFormat="false" ht="15" hidden="false" customHeight="false" outlineLevel="0" collapsed="false">
      <c r="A274" s="6" t="n">
        <v>273</v>
      </c>
      <c r="B274" s="6" t="s">
        <v>28</v>
      </c>
      <c r="C274" s="6" t="s">
        <v>1173</v>
      </c>
      <c r="D274" s="13" t="n">
        <v>46224</v>
      </c>
      <c r="E274" s="6" t="n">
        <f aca="false">MONTH(D274)</f>
        <v>7</v>
      </c>
      <c r="F274" s="6" t="s">
        <v>1174</v>
      </c>
      <c r="G274" s="6" t="s">
        <v>1175</v>
      </c>
      <c r="H274" s="6" t="s">
        <v>96</v>
      </c>
      <c r="I274" s="6" t="s">
        <v>35</v>
      </c>
      <c r="J274" s="6" t="s">
        <v>35</v>
      </c>
      <c r="K274" s="6" t="s">
        <v>314</v>
      </c>
      <c r="L274" s="13"/>
      <c r="M274" s="6" t="n">
        <v>0</v>
      </c>
      <c r="N274" s="13"/>
      <c r="O274" s="6" t="n">
        <v>0</v>
      </c>
      <c r="P274" s="6"/>
      <c r="Q274" s="8"/>
      <c r="R274" s="6"/>
      <c r="S274" s="8" t="str">
        <f aca="false">IF(Q274="","",IF(R274="EUR",ROUND(Q274*Параметры!$B$3,0),Q274))</f>
        <v/>
      </c>
      <c r="T274" s="6" t="s">
        <v>80</v>
      </c>
      <c r="U274" s="6" t="s">
        <v>163</v>
      </c>
      <c r="V274" s="13"/>
      <c r="W274" s="6" t="n">
        <f aca="false">IF(T274="Оплачено",1,0)</f>
        <v>0</v>
      </c>
      <c r="X274" s="6" t="n">
        <f aca="false">IF(OR(T274="Не дозвонились",Y274=0),0,1)</f>
        <v>0</v>
      </c>
      <c r="Y274" s="6" t="n">
        <v>1</v>
      </c>
      <c r="Z274" s="6"/>
      <c r="AA274" s="6"/>
      <c r="AB274" s="6"/>
    </row>
    <row r="275" customFormat="false" ht="15" hidden="false" customHeight="false" outlineLevel="0" collapsed="false">
      <c r="A275" s="6" t="n">
        <v>274</v>
      </c>
      <c r="B275" s="6" t="s">
        <v>28</v>
      </c>
      <c r="C275" s="6" t="s">
        <v>1176</v>
      </c>
      <c r="D275" s="13" t="n">
        <v>46224</v>
      </c>
      <c r="E275" s="6" t="n">
        <f aca="false">MONTH(D275)</f>
        <v>7</v>
      </c>
      <c r="F275" s="6" t="s">
        <v>1177</v>
      </c>
      <c r="G275" s="6" t="s">
        <v>1178</v>
      </c>
      <c r="H275" s="6" t="s">
        <v>96</v>
      </c>
      <c r="I275" s="6" t="s">
        <v>39</v>
      </c>
      <c r="J275" s="6"/>
      <c r="K275" s="6" t="s">
        <v>202</v>
      </c>
      <c r="L275" s="13"/>
      <c r="M275" s="6" t="n">
        <v>0</v>
      </c>
      <c r="N275" s="13"/>
      <c r="O275" s="6" t="n">
        <v>0</v>
      </c>
      <c r="P275" s="6"/>
      <c r="Q275" s="8"/>
      <c r="R275" s="6"/>
      <c r="S275" s="8" t="str">
        <f aca="false">IF(Q275="","",IF(R275="EUR",ROUND(Q275*Параметры!$B$3,0),Q275))</f>
        <v/>
      </c>
      <c r="T275" s="6" t="s">
        <v>71</v>
      </c>
      <c r="U275" s="6" t="s">
        <v>71</v>
      </c>
      <c r="V275" s="13"/>
      <c r="W275" s="6" t="n">
        <f aca="false">IF(T275="Оплачено",1,0)</f>
        <v>0</v>
      </c>
      <c r="X275" s="6" t="n">
        <f aca="false">IF(OR(T275="Не дозвонились",Y275=0),0,1)</f>
        <v>1</v>
      </c>
      <c r="Y275" s="6" t="n">
        <v>1</v>
      </c>
      <c r="Z275" s="6"/>
      <c r="AA275" s="6"/>
      <c r="AB275" s="6" t="s">
        <v>410</v>
      </c>
    </row>
    <row r="276" customFormat="false" ht="15" hidden="false" customHeight="false" outlineLevel="0" collapsed="false">
      <c r="A276" s="6" t="n">
        <v>275</v>
      </c>
      <c r="B276" s="6" t="s">
        <v>28</v>
      </c>
      <c r="C276" s="6" t="s">
        <v>1179</v>
      </c>
      <c r="D276" s="13" t="n">
        <v>46224</v>
      </c>
      <c r="E276" s="6" t="n">
        <f aca="false">MONTH(D276)</f>
        <v>7</v>
      </c>
      <c r="F276" s="6" t="s">
        <v>1180</v>
      </c>
      <c r="G276" s="6" t="s">
        <v>1181</v>
      </c>
      <c r="H276" s="6" t="s">
        <v>197</v>
      </c>
      <c r="I276" s="6" t="s">
        <v>36</v>
      </c>
      <c r="J276" s="6" t="s">
        <v>36</v>
      </c>
      <c r="K276" s="6" t="s">
        <v>198</v>
      </c>
      <c r="L276" s="13" t="n">
        <v>46229</v>
      </c>
      <c r="M276" s="6" t="n">
        <v>1</v>
      </c>
      <c r="N276" s="13" t="n">
        <v>46230</v>
      </c>
      <c r="O276" s="6" t="n">
        <v>1</v>
      </c>
      <c r="P276" s="6" t="s">
        <v>1182</v>
      </c>
      <c r="Q276" s="8" t="n">
        <v>21900</v>
      </c>
      <c r="R276" s="6" t="s">
        <v>89</v>
      </c>
      <c r="S276" s="8" t="n">
        <f aca="false">IF(Q276="","",IF(R276="EUR",ROUND(Q276*Параметры!$B$3,0),Q276))</f>
        <v>21900</v>
      </c>
      <c r="T276" s="6" t="s">
        <v>15</v>
      </c>
      <c r="U276" s="6" t="s">
        <v>15</v>
      </c>
      <c r="V276" s="13" t="n">
        <v>46239</v>
      </c>
      <c r="W276" s="6" t="n">
        <f aca="false">IF(T276="Оплачено",1,0)</f>
        <v>1</v>
      </c>
      <c r="X276" s="6" t="n">
        <f aca="false">IF(OR(T276="Не дозвонились",Y276=0),0,1)</f>
        <v>1</v>
      </c>
      <c r="Y276" s="6" t="n">
        <v>1</v>
      </c>
      <c r="Z276" s="6"/>
      <c r="AA276" s="6"/>
      <c r="AB276" s="6" t="s">
        <v>450</v>
      </c>
    </row>
    <row r="277" customFormat="false" ht="15" hidden="false" customHeight="false" outlineLevel="0" collapsed="false">
      <c r="A277" s="6" t="n">
        <v>276</v>
      </c>
      <c r="B277" s="6" t="s">
        <v>28</v>
      </c>
      <c r="C277" s="6" t="s">
        <v>1183</v>
      </c>
      <c r="D277" s="13" t="n">
        <v>46224</v>
      </c>
      <c r="E277" s="6" t="n">
        <f aca="false">MONTH(D277)</f>
        <v>7</v>
      </c>
      <c r="F277" s="6" t="s">
        <v>1184</v>
      </c>
      <c r="G277" s="6" t="s">
        <v>1185</v>
      </c>
      <c r="H277" s="6" t="s">
        <v>197</v>
      </c>
      <c r="I277" s="6" t="s">
        <v>37</v>
      </c>
      <c r="J277" s="6" t="s">
        <v>313</v>
      </c>
      <c r="K277" s="6" t="s">
        <v>98</v>
      </c>
      <c r="L277" s="13"/>
      <c r="M277" s="6" t="n">
        <v>0</v>
      </c>
      <c r="N277" s="13"/>
      <c r="O277" s="6" t="n">
        <v>0</v>
      </c>
      <c r="P277" s="6"/>
      <c r="Q277" s="8"/>
      <c r="R277" s="6"/>
      <c r="S277" s="8" t="str">
        <f aca="false">IF(Q277="","",IF(R277="EUR",ROUND(Q277*Параметры!$B$3,0),Q277))</f>
        <v/>
      </c>
      <c r="T277" s="6" t="s">
        <v>71</v>
      </c>
      <c r="U277" s="6" t="s">
        <v>71</v>
      </c>
      <c r="V277" s="13"/>
      <c r="W277" s="6" t="n">
        <f aca="false">IF(T277="Оплачено",1,0)</f>
        <v>0</v>
      </c>
      <c r="X277" s="6" t="n">
        <f aca="false">IF(OR(T277="Не дозвонились",Y277=0),0,1)</f>
        <v>1</v>
      </c>
      <c r="Y277" s="6" t="n">
        <v>1</v>
      </c>
      <c r="Z277" s="6"/>
      <c r="AA277" s="6"/>
      <c r="AB277" s="6" t="s">
        <v>209</v>
      </c>
    </row>
    <row r="278" customFormat="false" ht="15" hidden="false" customHeight="false" outlineLevel="0" collapsed="false">
      <c r="A278" s="6" t="n">
        <v>277</v>
      </c>
      <c r="B278" s="6" t="s">
        <v>29</v>
      </c>
      <c r="C278" s="6" t="s">
        <v>1186</v>
      </c>
      <c r="D278" s="13" t="n">
        <v>46224</v>
      </c>
      <c r="E278" s="6" t="n">
        <f aca="false">MONTH(D278)</f>
        <v>7</v>
      </c>
      <c r="F278" s="6" t="s">
        <v>1187</v>
      </c>
      <c r="G278" s="6" t="s">
        <v>1188</v>
      </c>
      <c r="H278" s="6" t="s">
        <v>121</v>
      </c>
      <c r="I278" s="6" t="s">
        <v>35</v>
      </c>
      <c r="J278" s="6" t="s">
        <v>142</v>
      </c>
      <c r="K278" s="6" t="s">
        <v>143</v>
      </c>
      <c r="L278" s="13" t="n">
        <v>46226</v>
      </c>
      <c r="M278" s="6" t="n">
        <v>1</v>
      </c>
      <c r="N278" s="13" t="n">
        <v>46229</v>
      </c>
      <c r="O278" s="6" t="n">
        <v>1</v>
      </c>
      <c r="P278" s="6" t="s">
        <v>1189</v>
      </c>
      <c r="Q278" s="8" t="n">
        <v>28500</v>
      </c>
      <c r="R278" s="6" t="s">
        <v>89</v>
      </c>
      <c r="S278" s="8" t="n">
        <f aca="false">IF(Q278="","",IF(R278="EUR",ROUND(Q278*Параметры!$B$3,0),Q278))</f>
        <v>28500</v>
      </c>
      <c r="T278" s="6" t="s">
        <v>15</v>
      </c>
      <c r="U278" s="6" t="s">
        <v>621</v>
      </c>
      <c r="V278" s="13" t="n">
        <v>46234</v>
      </c>
      <c r="W278" s="6" t="n">
        <f aca="false">IF(T278="Оплачено",1,0)</f>
        <v>1</v>
      </c>
      <c r="X278" s="6" t="n">
        <f aca="false">IF(OR(T278="Не дозвонились",Y278=0),0,1)</f>
        <v>1</v>
      </c>
      <c r="Y278" s="6" t="n">
        <v>1</v>
      </c>
      <c r="Z278" s="6"/>
      <c r="AA278" s="6"/>
      <c r="AB278" s="6" t="s">
        <v>204</v>
      </c>
    </row>
    <row r="279" customFormat="false" ht="15" hidden="false" customHeight="false" outlineLevel="0" collapsed="false">
      <c r="A279" s="6" t="n">
        <v>278</v>
      </c>
      <c r="B279" s="6" t="s">
        <v>29</v>
      </c>
      <c r="C279" s="6" t="s">
        <v>1190</v>
      </c>
      <c r="D279" s="13" t="n">
        <v>46224</v>
      </c>
      <c r="E279" s="6" t="n">
        <f aca="false">MONTH(D279)</f>
        <v>7</v>
      </c>
      <c r="F279" s="6" t="s">
        <v>1191</v>
      </c>
      <c r="G279" s="6" t="s">
        <v>1192</v>
      </c>
      <c r="H279" s="6" t="s">
        <v>266</v>
      </c>
      <c r="I279" s="6" t="s">
        <v>34</v>
      </c>
      <c r="J279" s="6" t="s">
        <v>167</v>
      </c>
      <c r="K279" s="6" t="s">
        <v>143</v>
      </c>
      <c r="L279" s="13"/>
      <c r="M279" s="6" t="n">
        <v>0</v>
      </c>
      <c r="N279" s="13"/>
      <c r="O279" s="6" t="n">
        <v>0</v>
      </c>
      <c r="P279" s="6"/>
      <c r="Q279" s="8"/>
      <c r="R279" s="6"/>
      <c r="S279" s="8" t="str">
        <f aca="false">IF(Q279="","",IF(R279="EUR",ROUND(Q279*Параметры!$B$3,0),Q279))</f>
        <v/>
      </c>
      <c r="T279" s="6" t="s">
        <v>71</v>
      </c>
      <c r="U279" s="6" t="s">
        <v>301</v>
      </c>
      <c r="V279" s="13"/>
      <c r="W279" s="6" t="n">
        <f aca="false">IF(T279="Оплачено",1,0)</f>
        <v>0</v>
      </c>
      <c r="X279" s="6" t="n">
        <f aca="false">IF(OR(T279="Не дозвонились",Y279=0),0,1)</f>
        <v>1</v>
      </c>
      <c r="Y279" s="6" t="n">
        <v>1</v>
      </c>
      <c r="Z279" s="6"/>
      <c r="AA279" s="6"/>
      <c r="AB279" s="6"/>
    </row>
    <row r="280" customFormat="false" ht="15" hidden="false" customHeight="false" outlineLevel="0" collapsed="false">
      <c r="A280" s="6" t="n">
        <v>279</v>
      </c>
      <c r="B280" s="6" t="s">
        <v>30</v>
      </c>
      <c r="C280" s="6" t="s">
        <v>1193</v>
      </c>
      <c r="D280" s="13" t="n">
        <v>46224</v>
      </c>
      <c r="E280" s="6" t="n">
        <f aca="false">MONTH(D280)</f>
        <v>7</v>
      </c>
      <c r="F280" s="6" t="s">
        <v>1194</v>
      </c>
      <c r="G280" s="6" t="s">
        <v>1195</v>
      </c>
      <c r="H280" s="6" t="s">
        <v>324</v>
      </c>
      <c r="I280" s="6" t="s">
        <v>39</v>
      </c>
      <c r="J280" s="6"/>
      <c r="K280" s="6" t="s">
        <v>536</v>
      </c>
      <c r="L280" s="13"/>
      <c r="M280" s="6" t="n">
        <v>0</v>
      </c>
      <c r="N280" s="13"/>
      <c r="O280" s="6" t="n">
        <v>0</v>
      </c>
      <c r="P280" s="6"/>
      <c r="Q280" s="8"/>
      <c r="R280" s="6"/>
      <c r="S280" s="8" t="str">
        <f aca="false">IF(Q280="","",IF(R280="EUR",ROUND(Q280*Параметры!$B$3,0),Q280))</f>
        <v/>
      </c>
      <c r="T280" s="6" t="s">
        <v>150</v>
      </c>
      <c r="U280" s="6" t="s">
        <v>151</v>
      </c>
      <c r="V280" s="13"/>
      <c r="W280" s="6" t="n">
        <f aca="false">IF(T280="Оплачено",1,0)</f>
        <v>0</v>
      </c>
      <c r="X280" s="6" t="n">
        <f aca="false">IF(OR(T280="Не дозвонились",Y280=0),0,1)</f>
        <v>1</v>
      </c>
      <c r="Y280" s="6" t="n">
        <v>1</v>
      </c>
      <c r="Z280" s="6"/>
      <c r="AA280" s="6"/>
      <c r="AB280" s="6" t="s">
        <v>1196</v>
      </c>
    </row>
    <row r="281" customFormat="false" ht="15" hidden="false" customHeight="false" outlineLevel="0" collapsed="false">
      <c r="A281" s="6" t="n">
        <v>280</v>
      </c>
      <c r="B281" s="6" t="s">
        <v>30</v>
      </c>
      <c r="C281" s="6" t="s">
        <v>1197</v>
      </c>
      <c r="D281" s="13" t="n">
        <v>46224</v>
      </c>
      <c r="E281" s="6" t="n">
        <f aca="false">MONTH(D281)</f>
        <v>7</v>
      </c>
      <c r="F281" s="6" t="s">
        <v>1198</v>
      </c>
      <c r="G281" s="6" t="s">
        <v>1199</v>
      </c>
      <c r="H281" s="6" t="s">
        <v>603</v>
      </c>
      <c r="I281" s="6" t="s">
        <v>36</v>
      </c>
      <c r="J281" s="6" t="s">
        <v>1200</v>
      </c>
      <c r="K281" s="6" t="s">
        <v>666</v>
      </c>
      <c r="L281" s="13" t="n">
        <v>46226</v>
      </c>
      <c r="M281" s="6" t="n">
        <v>1</v>
      </c>
      <c r="N281" s="13" t="n">
        <v>46227</v>
      </c>
      <c r="O281" s="6" t="n">
        <v>1</v>
      </c>
      <c r="P281" s="6" t="s">
        <v>1201</v>
      </c>
      <c r="Q281" s="8" t="n">
        <v>14600</v>
      </c>
      <c r="R281" s="6" t="s">
        <v>89</v>
      </c>
      <c r="S281" s="8" t="n">
        <f aca="false">IF(Q281="","",IF(R281="EUR",ROUND(Q281*Параметры!$B$3,0),Q281))</f>
        <v>14600</v>
      </c>
      <c r="T281" s="6" t="s">
        <v>15</v>
      </c>
      <c r="U281" s="6" t="s">
        <v>1074</v>
      </c>
      <c r="V281" s="13" t="n">
        <v>46239</v>
      </c>
      <c r="W281" s="6" t="n">
        <f aca="false">IF(T281="Оплачено",1,0)</f>
        <v>1</v>
      </c>
      <c r="X281" s="6" t="n">
        <f aca="false">IF(OR(T281="Не дозвонились",Y281=0),0,1)</f>
        <v>1</v>
      </c>
      <c r="Y281" s="6" t="n">
        <v>1</v>
      </c>
      <c r="Z281" s="6"/>
      <c r="AA281" s="6"/>
      <c r="AB281" s="6"/>
    </row>
    <row r="282" customFormat="false" ht="15" hidden="false" customHeight="false" outlineLevel="0" collapsed="false">
      <c r="A282" s="6" t="n">
        <v>281</v>
      </c>
      <c r="B282" s="6" t="s">
        <v>28</v>
      </c>
      <c r="C282" s="6" t="s">
        <v>1202</v>
      </c>
      <c r="D282" s="13" t="n">
        <v>46225</v>
      </c>
      <c r="E282" s="6" t="n">
        <f aca="false">MONTH(D282)</f>
        <v>7</v>
      </c>
      <c r="F282" s="6" t="s">
        <v>1203</v>
      </c>
      <c r="G282" s="6" t="s">
        <v>1204</v>
      </c>
      <c r="H282" s="6" t="s">
        <v>96</v>
      </c>
      <c r="I282" s="6" t="s">
        <v>34</v>
      </c>
      <c r="J282" s="6" t="s">
        <v>97</v>
      </c>
      <c r="K282" s="6" t="s">
        <v>234</v>
      </c>
      <c r="L282" s="13" t="n">
        <v>46231</v>
      </c>
      <c r="M282" s="6" t="n">
        <v>1</v>
      </c>
      <c r="N282" s="13" t="n">
        <v>46231</v>
      </c>
      <c r="O282" s="6" t="n">
        <v>1</v>
      </c>
      <c r="P282" s="6" t="s">
        <v>1205</v>
      </c>
      <c r="Q282" s="8" t="n">
        <v>2100</v>
      </c>
      <c r="R282" s="6" t="s">
        <v>89</v>
      </c>
      <c r="S282" s="8" t="n">
        <f aca="false">IF(Q282="","",IF(R282="EUR",ROUND(Q282*Параметры!$B$3,0),Q282))</f>
        <v>2100</v>
      </c>
      <c r="T282" s="6" t="s">
        <v>71</v>
      </c>
      <c r="U282" s="6" t="s">
        <v>71</v>
      </c>
      <c r="V282" s="13"/>
      <c r="W282" s="6" t="n">
        <f aca="false">IF(T282="Оплачено",1,0)</f>
        <v>0</v>
      </c>
      <c r="X282" s="6" t="n">
        <f aca="false">IF(OR(T282="Не дозвонились",Y282=0),0,1)</f>
        <v>1</v>
      </c>
      <c r="Y282" s="6" t="n">
        <v>1</v>
      </c>
      <c r="Z282" s="6"/>
      <c r="AA282" s="6"/>
      <c r="AB282" s="6" t="s">
        <v>235</v>
      </c>
    </row>
    <row r="283" customFormat="false" ht="15" hidden="false" customHeight="false" outlineLevel="0" collapsed="false">
      <c r="A283" s="6" t="n">
        <v>282</v>
      </c>
      <c r="B283" s="6" t="s">
        <v>28</v>
      </c>
      <c r="C283" s="6" t="s">
        <v>1206</v>
      </c>
      <c r="D283" s="13" t="n">
        <v>46225</v>
      </c>
      <c r="E283" s="6" t="n">
        <f aca="false">MONTH(D283)</f>
        <v>7</v>
      </c>
      <c r="F283" s="6" t="s">
        <v>1207</v>
      </c>
      <c r="G283" s="6" t="s">
        <v>1208</v>
      </c>
      <c r="H283" s="6" t="s">
        <v>103</v>
      </c>
      <c r="I283" s="6" t="s">
        <v>35</v>
      </c>
      <c r="J283" s="6" t="s">
        <v>35</v>
      </c>
      <c r="K283" s="6" t="s">
        <v>104</v>
      </c>
      <c r="L283" s="13" t="n">
        <v>46231</v>
      </c>
      <c r="M283" s="6" t="n">
        <v>1</v>
      </c>
      <c r="N283" s="13" t="n">
        <v>46231</v>
      </c>
      <c r="O283" s="6" t="n">
        <v>1</v>
      </c>
      <c r="P283" s="6" t="s">
        <v>1209</v>
      </c>
      <c r="Q283" s="8" t="n">
        <v>7100</v>
      </c>
      <c r="R283" s="6" t="s">
        <v>89</v>
      </c>
      <c r="S283" s="8" t="n">
        <f aca="false">IF(Q283="","",IF(R283="EUR",ROUND(Q283*Параметры!$B$3,0),Q283))</f>
        <v>7100</v>
      </c>
      <c r="T283" s="6" t="s">
        <v>15</v>
      </c>
      <c r="U283" s="6" t="s">
        <v>15</v>
      </c>
      <c r="V283" s="13" t="n">
        <v>46243</v>
      </c>
      <c r="W283" s="6" t="n">
        <f aca="false">IF(T283="Оплачено",1,0)</f>
        <v>1</v>
      </c>
      <c r="X283" s="6" t="n">
        <f aca="false">IF(OR(T283="Не дозвонились",Y283=0),0,1)</f>
        <v>1</v>
      </c>
      <c r="Y283" s="6" t="n">
        <v>1</v>
      </c>
      <c r="Z283" s="6"/>
      <c r="AA283" s="6"/>
      <c r="AB283" s="6"/>
    </row>
    <row r="284" customFormat="false" ht="15" hidden="false" customHeight="false" outlineLevel="0" collapsed="false">
      <c r="A284" s="6" t="n">
        <v>283</v>
      </c>
      <c r="B284" s="6" t="s">
        <v>28</v>
      </c>
      <c r="C284" s="6" t="s">
        <v>1210</v>
      </c>
      <c r="D284" s="13" t="n">
        <v>46225</v>
      </c>
      <c r="E284" s="6" t="n">
        <f aca="false">MONTH(D284)</f>
        <v>7</v>
      </c>
      <c r="F284" s="6" t="s">
        <v>1211</v>
      </c>
      <c r="G284" s="6" t="s">
        <v>1212</v>
      </c>
      <c r="H284" s="6" t="s">
        <v>286</v>
      </c>
      <c r="I284" s="6" t="s">
        <v>34</v>
      </c>
      <c r="J284" s="6" t="s">
        <v>34</v>
      </c>
      <c r="K284" s="6" t="s">
        <v>202</v>
      </c>
      <c r="L284" s="13"/>
      <c r="M284" s="6" t="n">
        <v>0</v>
      </c>
      <c r="N284" s="13"/>
      <c r="O284" s="6" t="n">
        <v>0</v>
      </c>
      <c r="P284" s="6"/>
      <c r="Q284" s="8"/>
      <c r="R284" s="6"/>
      <c r="S284" s="8" t="str">
        <f aca="false">IF(Q284="","",IF(R284="EUR",ROUND(Q284*Параметры!$B$3,0),Q284))</f>
        <v/>
      </c>
      <c r="T284" s="6" t="s">
        <v>80</v>
      </c>
      <c r="U284" s="6" t="s">
        <v>163</v>
      </c>
      <c r="V284" s="13"/>
      <c r="W284" s="6" t="n">
        <f aca="false">IF(T284="Оплачено",1,0)</f>
        <v>0</v>
      </c>
      <c r="X284" s="6" t="n">
        <f aca="false">IF(OR(T284="Не дозвонились",Y284=0),0,1)</f>
        <v>0</v>
      </c>
      <c r="Y284" s="6" t="n">
        <v>1</v>
      </c>
      <c r="Z284" s="6"/>
      <c r="AA284" s="6"/>
      <c r="AB284" s="6" t="s">
        <v>226</v>
      </c>
    </row>
    <row r="285" customFormat="false" ht="15" hidden="false" customHeight="false" outlineLevel="0" collapsed="false">
      <c r="A285" s="6" t="n">
        <v>284</v>
      </c>
      <c r="B285" s="6" t="s">
        <v>29</v>
      </c>
      <c r="C285" s="6" t="s">
        <v>1213</v>
      </c>
      <c r="D285" s="13" t="n">
        <v>46225</v>
      </c>
      <c r="E285" s="6" t="n">
        <f aca="false">MONTH(D285)</f>
        <v>7</v>
      </c>
      <c r="F285" s="6" t="s">
        <v>1214</v>
      </c>
      <c r="G285" s="6" t="s">
        <v>1215</v>
      </c>
      <c r="H285" s="6" t="s">
        <v>266</v>
      </c>
      <c r="I285" s="6" t="s">
        <v>35</v>
      </c>
      <c r="J285" s="6" t="s">
        <v>35</v>
      </c>
      <c r="K285" s="6" t="s">
        <v>318</v>
      </c>
      <c r="L285" s="13" t="n">
        <v>46226</v>
      </c>
      <c r="M285" s="6" t="n">
        <v>1</v>
      </c>
      <c r="N285" s="13" t="n">
        <v>46227</v>
      </c>
      <c r="O285" s="6" t="n">
        <v>1</v>
      </c>
      <c r="P285" s="6" t="s">
        <v>1216</v>
      </c>
      <c r="Q285" s="8" t="n">
        <v>2900</v>
      </c>
      <c r="R285" s="6" t="s">
        <v>89</v>
      </c>
      <c r="S285" s="8" t="n">
        <f aca="false">IF(Q285="","",IF(R285="EUR",ROUND(Q285*Параметры!$B$3,0),Q285))</f>
        <v>2900</v>
      </c>
      <c r="T285" s="6" t="s">
        <v>71</v>
      </c>
      <c r="U285" s="6" t="s">
        <v>72</v>
      </c>
      <c r="V285" s="13"/>
      <c r="W285" s="6" t="n">
        <f aca="false">IF(T285="Оплачено",1,0)</f>
        <v>0</v>
      </c>
      <c r="X285" s="6" t="n">
        <f aca="false">IF(OR(T285="Не дозвонились",Y285=0),0,1)</f>
        <v>1</v>
      </c>
      <c r="Y285" s="6" t="n">
        <v>1</v>
      </c>
      <c r="Z285" s="6"/>
      <c r="AA285" s="6"/>
      <c r="AB285" s="6" t="s">
        <v>356</v>
      </c>
    </row>
    <row r="286" customFormat="false" ht="15" hidden="false" customHeight="false" outlineLevel="0" collapsed="false">
      <c r="A286" s="6" t="n">
        <v>285</v>
      </c>
      <c r="B286" s="6" t="s">
        <v>28</v>
      </c>
      <c r="C286" s="6" t="s">
        <v>1217</v>
      </c>
      <c r="D286" s="13" t="n">
        <v>46226</v>
      </c>
      <c r="E286" s="6" t="n">
        <f aca="false">MONTH(D286)</f>
        <v>7</v>
      </c>
      <c r="F286" s="6" t="s">
        <v>1218</v>
      </c>
      <c r="G286" s="6" t="s">
        <v>1219</v>
      </c>
      <c r="H286" s="6" t="s">
        <v>161</v>
      </c>
      <c r="I286" s="6" t="s">
        <v>34</v>
      </c>
      <c r="J286" s="6" t="s">
        <v>34</v>
      </c>
      <c r="K286" s="6" t="s">
        <v>104</v>
      </c>
      <c r="L286" s="13"/>
      <c r="M286" s="6" t="n">
        <v>0</v>
      </c>
      <c r="N286" s="13"/>
      <c r="O286" s="6" t="n">
        <v>0</v>
      </c>
      <c r="P286" s="6"/>
      <c r="Q286" s="8"/>
      <c r="R286" s="6"/>
      <c r="S286" s="8" t="str">
        <f aca="false">IF(Q286="","",IF(R286="EUR",ROUND(Q286*Параметры!$B$3,0),Q286))</f>
        <v/>
      </c>
      <c r="T286" s="6" t="s">
        <v>71</v>
      </c>
      <c r="U286" s="6" t="s">
        <v>71</v>
      </c>
      <c r="V286" s="13"/>
      <c r="W286" s="6" t="n">
        <f aca="false">IF(T286="Оплачено",1,0)</f>
        <v>0</v>
      </c>
      <c r="X286" s="6" t="n">
        <f aca="false">IF(OR(T286="Не дозвонились",Y286=0),0,1)</f>
        <v>1</v>
      </c>
      <c r="Y286" s="6" t="n">
        <v>1</v>
      </c>
      <c r="Z286" s="6"/>
      <c r="AA286" s="6"/>
      <c r="AB286" s="6" t="s">
        <v>180</v>
      </c>
    </row>
    <row r="287" customFormat="false" ht="15" hidden="false" customHeight="false" outlineLevel="0" collapsed="false">
      <c r="A287" s="6" t="n">
        <v>286</v>
      </c>
      <c r="B287" s="6" t="s">
        <v>28</v>
      </c>
      <c r="C287" s="6" t="s">
        <v>1220</v>
      </c>
      <c r="D287" s="13" t="n">
        <v>46226</v>
      </c>
      <c r="E287" s="6" t="n">
        <f aca="false">MONTH(D287)</f>
        <v>7</v>
      </c>
      <c r="F287" s="6" t="s">
        <v>1221</v>
      </c>
      <c r="G287" s="6" t="s">
        <v>1222</v>
      </c>
      <c r="H287" s="6" t="s">
        <v>286</v>
      </c>
      <c r="I287" s="6" t="s">
        <v>37</v>
      </c>
      <c r="J287" s="6" t="s">
        <v>313</v>
      </c>
      <c r="K287" s="6" t="s">
        <v>104</v>
      </c>
      <c r="L287" s="13" t="n">
        <v>46229</v>
      </c>
      <c r="M287" s="6" t="n">
        <v>1</v>
      </c>
      <c r="N287" s="13" t="n">
        <v>46229</v>
      </c>
      <c r="O287" s="6" t="n">
        <v>1</v>
      </c>
      <c r="P287" s="6" t="s">
        <v>1223</v>
      </c>
      <c r="Q287" s="8" t="n">
        <v>8300</v>
      </c>
      <c r="R287" s="6" t="s">
        <v>89</v>
      </c>
      <c r="S287" s="8" t="n">
        <f aca="false">IF(Q287="","",IF(R287="EUR",ROUND(Q287*Параметры!$B$3,0),Q287))</f>
        <v>8300</v>
      </c>
      <c r="T287" s="6" t="s">
        <v>90</v>
      </c>
      <c r="U287" s="6" t="s">
        <v>90</v>
      </c>
      <c r="V287" s="13"/>
      <c r="W287" s="6" t="n">
        <f aca="false">IF(T287="Оплачено",1,0)</f>
        <v>0</v>
      </c>
      <c r="X287" s="6" t="n">
        <f aca="false">IF(OR(T287="Не дозвонились",Y287=0),0,1)</f>
        <v>1</v>
      </c>
      <c r="Y287" s="6" t="n">
        <v>1</v>
      </c>
      <c r="Z287" s="6"/>
      <c r="AA287" s="6"/>
      <c r="AB287" s="6"/>
    </row>
    <row r="288" customFormat="false" ht="15" hidden="false" customHeight="false" outlineLevel="0" collapsed="false">
      <c r="A288" s="6" t="n">
        <v>287</v>
      </c>
      <c r="B288" s="6" t="s">
        <v>29</v>
      </c>
      <c r="C288" s="6" t="s">
        <v>1224</v>
      </c>
      <c r="D288" s="13" t="n">
        <v>46226</v>
      </c>
      <c r="E288" s="6" t="n">
        <f aca="false">MONTH(D288)</f>
        <v>7</v>
      </c>
      <c r="F288" s="6" t="s">
        <v>1225</v>
      </c>
      <c r="G288" s="6" t="s">
        <v>1226</v>
      </c>
      <c r="H288" s="6" t="s">
        <v>68</v>
      </c>
      <c r="I288" s="6" t="s">
        <v>36</v>
      </c>
      <c r="J288" s="6" t="s">
        <v>409</v>
      </c>
      <c r="K288" s="6" t="s">
        <v>1227</v>
      </c>
      <c r="L288" s="13" t="n">
        <v>46230</v>
      </c>
      <c r="M288" s="6" t="n">
        <v>1</v>
      </c>
      <c r="N288" s="13" t="n">
        <v>46230</v>
      </c>
      <c r="O288" s="6" t="n">
        <v>1</v>
      </c>
      <c r="P288" s="6" t="s">
        <v>1228</v>
      </c>
      <c r="Q288" s="8" t="n">
        <v>135300</v>
      </c>
      <c r="R288" s="6" t="s">
        <v>89</v>
      </c>
      <c r="S288" s="8" t="n">
        <f aca="false">IF(Q288="","",IF(R288="EUR",ROUND(Q288*Параметры!$B$3,0),Q288))</f>
        <v>135300</v>
      </c>
      <c r="T288" s="6" t="s">
        <v>15</v>
      </c>
      <c r="U288" s="6" t="s">
        <v>490</v>
      </c>
      <c r="V288" s="13" t="n">
        <v>46234</v>
      </c>
      <c r="W288" s="6" t="n">
        <f aca="false">IF(T288="Оплачено",1,0)</f>
        <v>1</v>
      </c>
      <c r="X288" s="6" t="n">
        <f aca="false">IF(OR(T288="Не дозвонились",Y288=0),0,1)</f>
        <v>1</v>
      </c>
      <c r="Y288" s="6" t="n">
        <v>1</v>
      </c>
      <c r="Z288" s="6"/>
      <c r="AA288" s="6"/>
      <c r="AB288" s="6"/>
    </row>
    <row r="289" customFormat="false" ht="15" hidden="false" customHeight="false" outlineLevel="0" collapsed="false">
      <c r="A289" s="6" t="n">
        <v>288</v>
      </c>
      <c r="B289" s="6" t="s">
        <v>29</v>
      </c>
      <c r="C289" s="6" t="s">
        <v>1229</v>
      </c>
      <c r="D289" s="13" t="n">
        <v>46226</v>
      </c>
      <c r="E289" s="6" t="n">
        <f aca="false">MONTH(D289)</f>
        <v>7</v>
      </c>
      <c r="F289" s="6" t="s">
        <v>1230</v>
      </c>
      <c r="G289" s="6" t="s">
        <v>1231</v>
      </c>
      <c r="H289" s="6" t="s">
        <v>1068</v>
      </c>
      <c r="I289" s="6" t="s">
        <v>35</v>
      </c>
      <c r="J289" s="6" t="s">
        <v>142</v>
      </c>
      <c r="K289" s="6" t="s">
        <v>128</v>
      </c>
      <c r="L289" s="13" t="n">
        <v>46228</v>
      </c>
      <c r="M289" s="6" t="n">
        <v>1</v>
      </c>
      <c r="N289" s="13" t="n">
        <v>46230</v>
      </c>
      <c r="O289" s="6" t="n">
        <v>1</v>
      </c>
      <c r="P289" s="6" t="s">
        <v>1232</v>
      </c>
      <c r="Q289" s="8" t="n">
        <v>1770</v>
      </c>
      <c r="R289" s="6" t="s">
        <v>135</v>
      </c>
      <c r="S289" s="8" t="n">
        <f aca="false">IF(Q289="","",IF(R289="EUR",ROUND(Q289*Параметры!$B$3,0),Q289))</f>
        <v>35647</v>
      </c>
      <c r="T289" s="6" t="s">
        <v>71</v>
      </c>
      <c r="U289" s="6" t="s">
        <v>72</v>
      </c>
      <c r="V289" s="13"/>
      <c r="W289" s="6" t="n">
        <f aca="false">IF(T289="Оплачено",1,0)</f>
        <v>0</v>
      </c>
      <c r="X289" s="6" t="n">
        <f aca="false">IF(OR(T289="Не дозвонились",Y289=0),0,1)</f>
        <v>1</v>
      </c>
      <c r="Y289" s="6" t="n">
        <v>1</v>
      </c>
      <c r="Z289" s="6"/>
      <c r="AA289" s="6" t="s">
        <v>1233</v>
      </c>
      <c r="AB289" s="6" t="s">
        <v>987</v>
      </c>
    </row>
    <row r="290" customFormat="false" ht="15" hidden="false" customHeight="false" outlineLevel="0" collapsed="false">
      <c r="A290" s="6" t="n">
        <v>289</v>
      </c>
      <c r="B290" s="6" t="s">
        <v>30</v>
      </c>
      <c r="C290" s="6" t="s">
        <v>1234</v>
      </c>
      <c r="D290" s="13" t="n">
        <v>46226</v>
      </c>
      <c r="E290" s="6" t="n">
        <f aca="false">MONTH(D290)</f>
        <v>7</v>
      </c>
      <c r="F290" s="6" t="s">
        <v>1235</v>
      </c>
      <c r="G290" s="6" t="s">
        <v>1236</v>
      </c>
      <c r="H290" s="6" t="s">
        <v>243</v>
      </c>
      <c r="I290" s="6" t="s">
        <v>38</v>
      </c>
      <c r="J290" s="6" t="s">
        <v>244</v>
      </c>
      <c r="K290" s="6" t="s">
        <v>366</v>
      </c>
      <c r="L290" s="13"/>
      <c r="M290" s="6" t="n">
        <v>0</v>
      </c>
      <c r="N290" s="13"/>
      <c r="O290" s="6" t="n">
        <v>0</v>
      </c>
      <c r="P290" s="6"/>
      <c r="Q290" s="8"/>
      <c r="R290" s="6"/>
      <c r="S290" s="8" t="str">
        <f aca="false">IF(Q290="","",IF(R290="EUR",ROUND(Q290*Параметры!$B$3,0),Q290))</f>
        <v/>
      </c>
      <c r="T290" s="6" t="s">
        <v>150</v>
      </c>
      <c r="U290" s="6" t="s">
        <v>151</v>
      </c>
      <c r="V290" s="13"/>
      <c r="W290" s="6" t="n">
        <f aca="false">IF(T290="Оплачено",1,0)</f>
        <v>0</v>
      </c>
      <c r="X290" s="6" t="n">
        <f aca="false">IF(OR(T290="Не дозвонились",Y290=0),0,1)</f>
        <v>1</v>
      </c>
      <c r="Y290" s="6" t="n">
        <v>1</v>
      </c>
      <c r="Z290" s="6"/>
      <c r="AA290" s="6"/>
      <c r="AB290" s="6" t="s">
        <v>235</v>
      </c>
    </row>
    <row r="291" customFormat="false" ht="15" hidden="false" customHeight="false" outlineLevel="0" collapsed="false">
      <c r="A291" s="6" t="n">
        <v>290</v>
      </c>
      <c r="B291" s="6" t="s">
        <v>30</v>
      </c>
      <c r="C291" s="6" t="s">
        <v>1237</v>
      </c>
      <c r="D291" s="13" t="n">
        <v>46226</v>
      </c>
      <c r="E291" s="6" t="n">
        <f aca="false">MONTH(D291)</f>
        <v>7</v>
      </c>
      <c r="F291" s="6" t="s">
        <v>1238</v>
      </c>
      <c r="G291" s="6" t="s">
        <v>1239</v>
      </c>
      <c r="H291" s="6" t="s">
        <v>243</v>
      </c>
      <c r="I291" s="6" t="s">
        <v>34</v>
      </c>
      <c r="J291" s="6" t="s">
        <v>383</v>
      </c>
      <c r="K291" s="6" t="s">
        <v>281</v>
      </c>
      <c r="L291" s="13"/>
      <c r="M291" s="6" t="n">
        <v>1</v>
      </c>
      <c r="N291" s="13" t="n">
        <v>46238</v>
      </c>
      <c r="O291" s="6" t="n">
        <v>1</v>
      </c>
      <c r="P291" s="6" t="s">
        <v>1240</v>
      </c>
      <c r="Q291" s="8" t="n">
        <v>8600</v>
      </c>
      <c r="R291" s="6" t="s">
        <v>89</v>
      </c>
      <c r="S291" s="8" t="n">
        <f aca="false">IF(Q291="","",IF(R291="EUR",ROUND(Q291*Параметры!$B$3,0),Q291))</f>
        <v>8600</v>
      </c>
      <c r="T291" s="6" t="s">
        <v>71</v>
      </c>
      <c r="U291" s="6" t="s">
        <v>72</v>
      </c>
      <c r="V291" s="13"/>
      <c r="W291" s="6" t="n">
        <f aca="false">IF(T291="Оплачено",1,0)</f>
        <v>0</v>
      </c>
      <c r="X291" s="6" t="n">
        <f aca="false">IF(OR(T291="Не дозвонились",Y291=0),0,1)</f>
        <v>1</v>
      </c>
      <c r="Y291" s="6" t="n">
        <v>1</v>
      </c>
      <c r="Z291" s="6"/>
      <c r="AA291" s="6"/>
      <c r="AB291" s="6" t="s">
        <v>226</v>
      </c>
    </row>
    <row r="292" customFormat="false" ht="15" hidden="false" customHeight="false" outlineLevel="0" collapsed="false">
      <c r="A292" s="6" t="n">
        <v>291</v>
      </c>
      <c r="B292" s="6" t="s">
        <v>30</v>
      </c>
      <c r="C292" s="6" t="s">
        <v>1241</v>
      </c>
      <c r="D292" s="13" t="n">
        <v>46226</v>
      </c>
      <c r="E292" s="6" t="n">
        <f aca="false">MONTH(D292)</f>
        <v>7</v>
      </c>
      <c r="F292" s="6" t="s">
        <v>1242</v>
      </c>
      <c r="G292" s="6" t="s">
        <v>1243</v>
      </c>
      <c r="H292" s="6" t="s">
        <v>96</v>
      </c>
      <c r="I292" s="6" t="s">
        <v>35</v>
      </c>
      <c r="J292" s="6" t="s">
        <v>148</v>
      </c>
      <c r="K292" s="6" t="s">
        <v>666</v>
      </c>
      <c r="L292" s="13"/>
      <c r="M292" s="6" t="n">
        <v>0</v>
      </c>
      <c r="N292" s="13"/>
      <c r="O292" s="6" t="n">
        <v>0</v>
      </c>
      <c r="P292" s="6"/>
      <c r="Q292" s="8"/>
      <c r="R292" s="6"/>
      <c r="S292" s="8" t="str">
        <f aca="false">IF(Q292="","",IF(R292="EUR",ROUND(Q292*Параметры!$B$3,0),Q292))</f>
        <v/>
      </c>
      <c r="T292" s="6" t="s">
        <v>150</v>
      </c>
      <c r="U292" s="6" t="s">
        <v>151</v>
      </c>
      <c r="V292" s="13"/>
      <c r="W292" s="6" t="n">
        <f aca="false">IF(T292="Оплачено",1,0)</f>
        <v>0</v>
      </c>
      <c r="X292" s="6" t="n">
        <f aca="false">IF(OR(T292="Не дозвонились",Y292=0),0,1)</f>
        <v>1</v>
      </c>
      <c r="Y292" s="6" t="n">
        <v>1</v>
      </c>
      <c r="Z292" s="6"/>
      <c r="AA292" s="6"/>
      <c r="AB292" s="6"/>
    </row>
    <row r="293" customFormat="false" ht="15" hidden="false" customHeight="false" outlineLevel="0" collapsed="false">
      <c r="A293" s="6" t="n">
        <v>292</v>
      </c>
      <c r="B293" s="6" t="s">
        <v>30</v>
      </c>
      <c r="C293" s="6" t="s">
        <v>1244</v>
      </c>
      <c r="D293" s="13" t="n">
        <v>46226</v>
      </c>
      <c r="E293" s="6" t="n">
        <f aca="false">MONTH(D293)</f>
        <v>7</v>
      </c>
      <c r="F293" s="6" t="s">
        <v>1194</v>
      </c>
      <c r="G293" s="6" t="s">
        <v>1245</v>
      </c>
      <c r="H293" s="6" t="s">
        <v>147</v>
      </c>
      <c r="I293" s="6" t="s">
        <v>34</v>
      </c>
      <c r="J293" s="6" t="s">
        <v>132</v>
      </c>
      <c r="K293" s="6" t="s">
        <v>87</v>
      </c>
      <c r="L293" s="13"/>
      <c r="M293" s="6" t="n">
        <v>0</v>
      </c>
      <c r="N293" s="13"/>
      <c r="O293" s="6" t="n">
        <v>0</v>
      </c>
      <c r="P293" s="6"/>
      <c r="Q293" s="8"/>
      <c r="R293" s="6"/>
      <c r="S293" s="8" t="str">
        <f aca="false">IF(Q293="","",IF(R293="EUR",ROUND(Q293*Параметры!$B$3,0),Q293))</f>
        <v/>
      </c>
      <c r="T293" s="6" t="s">
        <v>71</v>
      </c>
      <c r="U293" s="6" t="s">
        <v>72</v>
      </c>
      <c r="V293" s="13"/>
      <c r="W293" s="6" t="n">
        <f aca="false">IF(T293="Оплачено",1,0)</f>
        <v>0</v>
      </c>
      <c r="X293" s="6" t="n">
        <f aca="false">IF(OR(T293="Не дозвонились",Y293=0),0,1)</f>
        <v>1</v>
      </c>
      <c r="Y293" s="6" t="n">
        <v>1</v>
      </c>
      <c r="Z293" s="6"/>
      <c r="AA293" s="6"/>
      <c r="AB293" s="6"/>
    </row>
    <row r="294" customFormat="false" ht="15" hidden="false" customHeight="false" outlineLevel="0" collapsed="false">
      <c r="A294" s="6" t="n">
        <v>293</v>
      </c>
      <c r="B294" s="6" t="s">
        <v>28</v>
      </c>
      <c r="C294" s="6" t="s">
        <v>1246</v>
      </c>
      <c r="D294" s="13" t="n">
        <v>46227</v>
      </c>
      <c r="E294" s="6" t="n">
        <f aca="false">MONTH(D294)</f>
        <v>7</v>
      </c>
      <c r="F294" s="6" t="s">
        <v>1247</v>
      </c>
      <c r="G294" s="6" t="s">
        <v>1248</v>
      </c>
      <c r="H294" s="6" t="s">
        <v>96</v>
      </c>
      <c r="I294" s="6" t="s">
        <v>36</v>
      </c>
      <c r="J294" s="6" t="s">
        <v>36</v>
      </c>
      <c r="K294" s="6" t="s">
        <v>110</v>
      </c>
      <c r="L294" s="13" t="n">
        <v>46230</v>
      </c>
      <c r="M294" s="6" t="n">
        <v>1</v>
      </c>
      <c r="N294" s="13" t="n">
        <v>46231</v>
      </c>
      <c r="O294" s="6" t="n">
        <v>1</v>
      </c>
      <c r="P294" s="6" t="s">
        <v>1249</v>
      </c>
      <c r="Q294" s="8" t="n">
        <v>1400</v>
      </c>
      <c r="R294" s="6" t="s">
        <v>89</v>
      </c>
      <c r="S294" s="8" t="n">
        <f aca="false">IF(Q294="","",IF(R294="EUR",ROUND(Q294*Параметры!$B$3,0),Q294))</f>
        <v>1400</v>
      </c>
      <c r="T294" s="6" t="s">
        <v>15</v>
      </c>
      <c r="U294" s="6" t="s">
        <v>15</v>
      </c>
      <c r="V294" s="13" t="n">
        <v>46239</v>
      </c>
      <c r="W294" s="6" t="n">
        <f aca="false">IF(T294="Оплачено",1,0)</f>
        <v>1</v>
      </c>
      <c r="X294" s="6" t="n">
        <f aca="false">IF(OR(T294="Не дозвонились",Y294=0),0,1)</f>
        <v>1</v>
      </c>
      <c r="Y294" s="6" t="n">
        <v>1</v>
      </c>
      <c r="Z294" s="6"/>
      <c r="AA294" s="6"/>
      <c r="AB294" s="6"/>
    </row>
    <row r="295" customFormat="false" ht="15" hidden="false" customHeight="false" outlineLevel="0" collapsed="false">
      <c r="A295" s="6" t="n">
        <v>294</v>
      </c>
      <c r="B295" s="6" t="s">
        <v>29</v>
      </c>
      <c r="C295" s="6" t="s">
        <v>1250</v>
      </c>
      <c r="D295" s="13" t="n">
        <v>46227</v>
      </c>
      <c r="E295" s="6" t="n">
        <f aca="false">MONTH(D295)</f>
        <v>7</v>
      </c>
      <c r="F295" s="6" t="s">
        <v>1251</v>
      </c>
      <c r="G295" s="6" t="s">
        <v>1252</v>
      </c>
      <c r="H295" s="6" t="s">
        <v>96</v>
      </c>
      <c r="I295" s="6" t="s">
        <v>34</v>
      </c>
      <c r="J295" s="6" t="s">
        <v>383</v>
      </c>
      <c r="K295" s="6" t="s">
        <v>128</v>
      </c>
      <c r="L295" s="13"/>
      <c r="M295" s="6" t="n">
        <v>0</v>
      </c>
      <c r="N295" s="13"/>
      <c r="O295" s="6" t="n">
        <v>0</v>
      </c>
      <c r="P295" s="6"/>
      <c r="Q295" s="8"/>
      <c r="R295" s="6"/>
      <c r="S295" s="8" t="str">
        <f aca="false">IF(Q295="","",IF(R295="EUR",ROUND(Q295*Параметры!$B$3,0),Q295))</f>
        <v/>
      </c>
      <c r="T295" s="6" t="s">
        <v>80</v>
      </c>
      <c r="U295" s="6" t="s">
        <v>117</v>
      </c>
      <c r="V295" s="13"/>
      <c r="W295" s="6" t="n">
        <f aca="false">IF(T295="Оплачено",1,0)</f>
        <v>0</v>
      </c>
      <c r="X295" s="6" t="n">
        <f aca="false">IF(OR(T295="Не дозвонились",Y295=0),0,1)</f>
        <v>0</v>
      </c>
      <c r="Y295" s="6" t="n">
        <v>1</v>
      </c>
      <c r="Z295" s="6"/>
      <c r="AA295" s="6"/>
      <c r="AB295" s="6" t="s">
        <v>282</v>
      </c>
    </row>
    <row r="296" customFormat="false" ht="15" hidden="false" customHeight="false" outlineLevel="0" collapsed="false">
      <c r="A296" s="6" t="n">
        <v>295</v>
      </c>
      <c r="B296" s="6" t="s">
        <v>30</v>
      </c>
      <c r="C296" s="6" t="s">
        <v>1253</v>
      </c>
      <c r="D296" s="13" t="n">
        <v>46227</v>
      </c>
      <c r="E296" s="6" t="n">
        <f aca="false">MONTH(D296)</f>
        <v>7</v>
      </c>
      <c r="F296" s="6" t="s">
        <v>1254</v>
      </c>
      <c r="G296" s="6"/>
      <c r="H296" s="6" t="s">
        <v>850</v>
      </c>
      <c r="I296" s="6" t="s">
        <v>36</v>
      </c>
      <c r="J296" s="6" t="s">
        <v>727</v>
      </c>
      <c r="K296" s="6" t="s">
        <v>87</v>
      </c>
      <c r="L296" s="13" t="n">
        <v>46228</v>
      </c>
      <c r="M296" s="6" t="n">
        <v>1</v>
      </c>
      <c r="N296" s="13" t="n">
        <v>46235</v>
      </c>
      <c r="O296" s="6" t="n">
        <v>1</v>
      </c>
      <c r="P296" s="6" t="s">
        <v>1255</v>
      </c>
      <c r="Q296" s="8" t="n">
        <v>16100</v>
      </c>
      <c r="R296" s="6" t="s">
        <v>89</v>
      </c>
      <c r="S296" s="8" t="n">
        <f aca="false">IF(Q296="","",IF(R296="EUR",ROUND(Q296*Параметры!$B$3,0),Q296))</f>
        <v>16100</v>
      </c>
      <c r="T296" s="6" t="s">
        <v>90</v>
      </c>
      <c r="U296" s="6" t="s">
        <v>91</v>
      </c>
      <c r="V296" s="13"/>
      <c r="W296" s="6" t="n">
        <f aca="false">IF(T296="Оплачено",1,0)</f>
        <v>0</v>
      </c>
      <c r="X296" s="6" t="n">
        <f aca="false">IF(OR(T296="Не дозвонились",Y296=0),0,1)</f>
        <v>1</v>
      </c>
      <c r="Y296" s="6" t="n">
        <v>1</v>
      </c>
      <c r="Z296" s="6"/>
      <c r="AA296" s="6"/>
      <c r="AB296" s="6"/>
    </row>
    <row r="297" customFormat="false" ht="15" hidden="false" customHeight="false" outlineLevel="0" collapsed="false">
      <c r="A297" s="6" t="n">
        <v>296</v>
      </c>
      <c r="B297" s="6" t="s">
        <v>28</v>
      </c>
      <c r="C297" s="6" t="s">
        <v>1256</v>
      </c>
      <c r="D297" s="13" t="n">
        <v>46228</v>
      </c>
      <c r="E297" s="6" t="n">
        <f aca="false">MONTH(D297)</f>
        <v>7</v>
      </c>
      <c r="F297" s="6" t="s">
        <v>1257</v>
      </c>
      <c r="G297" s="6" t="s">
        <v>1258</v>
      </c>
      <c r="H297" s="6" t="s">
        <v>155</v>
      </c>
      <c r="I297" s="6" t="s">
        <v>38</v>
      </c>
      <c r="J297" s="6" t="s">
        <v>38</v>
      </c>
      <c r="K297" s="6" t="s">
        <v>202</v>
      </c>
      <c r="L297" s="13" t="n">
        <v>46230</v>
      </c>
      <c r="M297" s="6" t="n">
        <v>1</v>
      </c>
      <c r="N297" s="13" t="n">
        <v>46231</v>
      </c>
      <c r="O297" s="6" t="n">
        <v>1</v>
      </c>
      <c r="P297" s="6" t="s">
        <v>1259</v>
      </c>
      <c r="Q297" s="8" t="n">
        <v>33700</v>
      </c>
      <c r="R297" s="6" t="s">
        <v>89</v>
      </c>
      <c r="S297" s="8" t="n">
        <f aca="false">IF(Q297="","",IF(R297="EUR",ROUND(Q297*Параметры!$B$3,0),Q297))</f>
        <v>33700</v>
      </c>
      <c r="T297" s="6" t="s">
        <v>71</v>
      </c>
      <c r="U297" s="6" t="s">
        <v>71</v>
      </c>
      <c r="V297" s="13"/>
      <c r="W297" s="6" t="n">
        <f aca="false">IF(T297="Оплачено",1,0)</f>
        <v>0</v>
      </c>
      <c r="X297" s="6" t="n">
        <f aca="false">IF(OR(T297="Не дозвонились",Y297=0),0,1)</f>
        <v>1</v>
      </c>
      <c r="Y297" s="6" t="n">
        <v>1</v>
      </c>
      <c r="Z297" s="6"/>
      <c r="AA297" s="6"/>
      <c r="AB297" s="6" t="s">
        <v>1260</v>
      </c>
    </row>
    <row r="298" customFormat="false" ht="15" hidden="false" customHeight="false" outlineLevel="0" collapsed="false">
      <c r="A298" s="6" t="n">
        <v>297</v>
      </c>
      <c r="B298" s="6" t="s">
        <v>28</v>
      </c>
      <c r="C298" s="6" t="s">
        <v>1261</v>
      </c>
      <c r="D298" s="13" t="n">
        <v>46228</v>
      </c>
      <c r="E298" s="6" t="n">
        <f aca="false">MONTH(D298)</f>
        <v>7</v>
      </c>
      <c r="F298" s="6" t="s">
        <v>1262</v>
      </c>
      <c r="G298" s="6" t="s">
        <v>1263</v>
      </c>
      <c r="H298" s="6" t="s">
        <v>850</v>
      </c>
      <c r="I298" s="6" t="s">
        <v>34</v>
      </c>
      <c r="J298" s="6" t="s">
        <v>97</v>
      </c>
      <c r="K298" s="6" t="s">
        <v>202</v>
      </c>
      <c r="L298" s="13"/>
      <c r="M298" s="6" t="n">
        <v>0</v>
      </c>
      <c r="N298" s="13"/>
      <c r="O298" s="6" t="n">
        <v>0</v>
      </c>
      <c r="P298" s="6"/>
      <c r="Q298" s="8"/>
      <c r="R298" s="6"/>
      <c r="S298" s="8" t="str">
        <f aca="false">IF(Q298="","",IF(R298="EUR",ROUND(Q298*Параметры!$B$3,0),Q298))</f>
        <v/>
      </c>
      <c r="T298" s="6" t="s">
        <v>80</v>
      </c>
      <c r="U298" s="6" t="s">
        <v>163</v>
      </c>
      <c r="V298" s="13"/>
      <c r="W298" s="6" t="n">
        <f aca="false">IF(T298="Оплачено",1,0)</f>
        <v>0</v>
      </c>
      <c r="X298" s="6" t="n">
        <f aca="false">IF(OR(T298="Не дозвонились",Y298=0),0,1)</f>
        <v>0</v>
      </c>
      <c r="Y298" s="6" t="n">
        <v>1</v>
      </c>
      <c r="Z298" s="6"/>
      <c r="AA298" s="6"/>
      <c r="AB298" s="6"/>
    </row>
    <row r="299" customFormat="false" ht="15" hidden="false" customHeight="false" outlineLevel="0" collapsed="false">
      <c r="A299" s="6" t="n">
        <v>298</v>
      </c>
      <c r="B299" s="6" t="s">
        <v>28</v>
      </c>
      <c r="C299" s="6" t="s">
        <v>1264</v>
      </c>
      <c r="D299" s="13" t="n">
        <v>46228</v>
      </c>
      <c r="E299" s="6" t="n">
        <f aca="false">MONTH(D299)</f>
        <v>7</v>
      </c>
      <c r="F299" s="6" t="s">
        <v>1265</v>
      </c>
      <c r="G299" s="6" t="s">
        <v>1266</v>
      </c>
      <c r="H299" s="6" t="s">
        <v>161</v>
      </c>
      <c r="I299" s="6" t="s">
        <v>38</v>
      </c>
      <c r="J299" s="6" t="s">
        <v>38</v>
      </c>
      <c r="K299" s="6" t="s">
        <v>162</v>
      </c>
      <c r="L299" s="13"/>
      <c r="M299" s="6" t="n">
        <v>0</v>
      </c>
      <c r="N299" s="13"/>
      <c r="O299" s="6" t="n">
        <v>0</v>
      </c>
      <c r="P299" s="6"/>
      <c r="Q299" s="8"/>
      <c r="R299" s="6"/>
      <c r="S299" s="8" t="str">
        <f aca="false">IF(Q299="","",IF(R299="EUR",ROUND(Q299*Параметры!$B$3,0),Q299))</f>
        <v/>
      </c>
      <c r="T299" s="6" t="s">
        <v>71</v>
      </c>
      <c r="U299" s="6" t="s">
        <v>71</v>
      </c>
      <c r="V299" s="13"/>
      <c r="W299" s="6" t="n">
        <f aca="false">IF(T299="Оплачено",1,0)</f>
        <v>0</v>
      </c>
      <c r="X299" s="6" t="n">
        <f aca="false">IF(OR(T299="Не дозвонились",Y299=0),0,1)</f>
        <v>1</v>
      </c>
      <c r="Y299" s="6" t="n">
        <v>1</v>
      </c>
      <c r="Z299" s="6"/>
      <c r="AA299" s="6"/>
      <c r="AB299" s="6"/>
    </row>
    <row r="300" customFormat="false" ht="15" hidden="false" customHeight="false" outlineLevel="0" collapsed="false">
      <c r="A300" s="6" t="n">
        <v>299</v>
      </c>
      <c r="B300" s="6" t="s">
        <v>29</v>
      </c>
      <c r="C300" s="6" t="s">
        <v>1267</v>
      </c>
      <c r="D300" s="13" t="n">
        <v>46228</v>
      </c>
      <c r="E300" s="6" t="n">
        <f aca="false">MONTH(D300)</f>
        <v>7</v>
      </c>
      <c r="F300" s="6" t="s">
        <v>1268</v>
      </c>
      <c r="G300" s="6" t="s">
        <v>1269</v>
      </c>
      <c r="H300" s="6" t="s">
        <v>96</v>
      </c>
      <c r="I300" s="6" t="s">
        <v>35</v>
      </c>
      <c r="J300" s="6" t="s">
        <v>35</v>
      </c>
      <c r="K300" s="6" t="s">
        <v>70</v>
      </c>
      <c r="L300" s="13" t="n">
        <v>46229</v>
      </c>
      <c r="M300" s="6" t="n">
        <v>1</v>
      </c>
      <c r="N300" s="13" t="n">
        <v>46234</v>
      </c>
      <c r="O300" s="6" t="n">
        <v>1</v>
      </c>
      <c r="P300" s="6" t="s">
        <v>1270</v>
      </c>
      <c r="Q300" s="8" t="n">
        <v>5700</v>
      </c>
      <c r="R300" s="6" t="s">
        <v>89</v>
      </c>
      <c r="S300" s="8" t="n">
        <f aca="false">IF(Q300="","",IF(R300="EUR",ROUND(Q300*Параметры!$B$3,0),Q300))</f>
        <v>5700</v>
      </c>
      <c r="T300" s="6" t="s">
        <v>71</v>
      </c>
      <c r="U300" s="6" t="s">
        <v>72</v>
      </c>
      <c r="V300" s="13"/>
      <c r="W300" s="6" t="n">
        <f aca="false">IF(T300="Оплачено",1,0)</f>
        <v>0</v>
      </c>
      <c r="X300" s="6" t="n">
        <f aca="false">IF(OR(T300="Не дозвонились",Y300=0),0,1)</f>
        <v>1</v>
      </c>
      <c r="Y300" s="6" t="n">
        <v>1</v>
      </c>
      <c r="Z300" s="6"/>
      <c r="AA300" s="6" t="s">
        <v>1271</v>
      </c>
      <c r="AB300" s="6" t="s">
        <v>1272</v>
      </c>
    </row>
    <row r="301" customFormat="false" ht="15" hidden="false" customHeight="false" outlineLevel="0" collapsed="false">
      <c r="A301" s="6" t="n">
        <v>300</v>
      </c>
      <c r="B301" s="6" t="s">
        <v>29</v>
      </c>
      <c r="C301" s="6" t="s">
        <v>1273</v>
      </c>
      <c r="D301" s="13" t="n">
        <v>46228</v>
      </c>
      <c r="E301" s="6" t="n">
        <f aca="false">MONTH(D301)</f>
        <v>7</v>
      </c>
      <c r="F301" s="6" t="s">
        <v>1274</v>
      </c>
      <c r="G301" s="6" t="s">
        <v>1275</v>
      </c>
      <c r="H301" s="6" t="s">
        <v>1276</v>
      </c>
      <c r="I301" s="6" t="s">
        <v>34</v>
      </c>
      <c r="J301" s="6" t="s">
        <v>383</v>
      </c>
      <c r="K301" s="6" t="s">
        <v>344</v>
      </c>
      <c r="L301" s="13" t="n">
        <v>46230</v>
      </c>
      <c r="M301" s="6" t="n">
        <v>1</v>
      </c>
      <c r="N301" s="13" t="n">
        <v>46233</v>
      </c>
      <c r="O301" s="6" t="n">
        <v>1</v>
      </c>
      <c r="P301" s="6" t="s">
        <v>1277</v>
      </c>
      <c r="Q301" s="8" t="n">
        <v>10900</v>
      </c>
      <c r="R301" s="6" t="s">
        <v>89</v>
      </c>
      <c r="S301" s="8" t="n">
        <f aca="false">IF(Q301="","",IF(R301="EUR",ROUND(Q301*Параметры!$B$3,0),Q301))</f>
        <v>10900</v>
      </c>
      <c r="T301" s="6" t="s">
        <v>71</v>
      </c>
      <c r="U301" s="6" t="s">
        <v>72</v>
      </c>
      <c r="V301" s="13"/>
      <c r="W301" s="6" t="n">
        <f aca="false">IF(T301="Оплачено",1,0)</f>
        <v>0</v>
      </c>
      <c r="X301" s="6" t="n">
        <f aca="false">IF(OR(T301="Не дозвонились",Y301=0),0,1)</f>
        <v>1</v>
      </c>
      <c r="Y301" s="6" t="n">
        <v>1</v>
      </c>
      <c r="Z301" s="6"/>
      <c r="AA301" s="6"/>
      <c r="AB301" s="6" t="s">
        <v>258</v>
      </c>
    </row>
    <row r="302" customFormat="false" ht="15" hidden="false" customHeight="false" outlineLevel="0" collapsed="false">
      <c r="A302" s="6" t="n">
        <v>301</v>
      </c>
      <c r="B302" s="6" t="s">
        <v>30</v>
      </c>
      <c r="C302" s="6" t="s">
        <v>1278</v>
      </c>
      <c r="D302" s="13" t="n">
        <v>46228</v>
      </c>
      <c r="E302" s="6" t="n">
        <f aca="false">MONTH(D302)</f>
        <v>7</v>
      </c>
      <c r="F302" s="6" t="s">
        <v>1279</v>
      </c>
      <c r="G302" s="6" t="s">
        <v>1280</v>
      </c>
      <c r="H302" s="6" t="s">
        <v>243</v>
      </c>
      <c r="I302" s="6" t="s">
        <v>34</v>
      </c>
      <c r="J302" s="6" t="s">
        <v>383</v>
      </c>
      <c r="K302" s="6" t="s">
        <v>536</v>
      </c>
      <c r="L302" s="13"/>
      <c r="M302" s="6" t="n">
        <v>0</v>
      </c>
      <c r="N302" s="13"/>
      <c r="O302" s="6" t="n">
        <v>0</v>
      </c>
      <c r="P302" s="6"/>
      <c r="Q302" s="8"/>
      <c r="R302" s="6"/>
      <c r="S302" s="8" t="str">
        <f aca="false">IF(Q302="","",IF(R302="EUR",ROUND(Q302*Параметры!$B$3,0),Q302))</f>
        <v/>
      </c>
      <c r="T302" s="6" t="s">
        <v>150</v>
      </c>
      <c r="U302" s="6" t="s">
        <v>151</v>
      </c>
      <c r="V302" s="13"/>
      <c r="W302" s="6" t="n">
        <f aca="false">IF(T302="Оплачено",1,0)</f>
        <v>0</v>
      </c>
      <c r="X302" s="6" t="n">
        <f aca="false">IF(OR(T302="Не дозвонились",Y302=0),0,1)</f>
        <v>1</v>
      </c>
      <c r="Y302" s="6" t="n">
        <v>1</v>
      </c>
      <c r="Z302" s="6"/>
      <c r="AA302" s="6"/>
      <c r="AB302" s="6"/>
    </row>
    <row r="303" customFormat="false" ht="15" hidden="false" customHeight="false" outlineLevel="0" collapsed="false">
      <c r="A303" s="6" t="n">
        <v>302</v>
      </c>
      <c r="B303" s="6" t="s">
        <v>30</v>
      </c>
      <c r="C303" s="6" t="s">
        <v>1281</v>
      </c>
      <c r="D303" s="13" t="n">
        <v>46228</v>
      </c>
      <c r="E303" s="6" t="n">
        <f aca="false">MONTH(D303)</f>
        <v>7</v>
      </c>
      <c r="F303" s="6" t="s">
        <v>1282</v>
      </c>
      <c r="G303" s="6" t="s">
        <v>1283</v>
      </c>
      <c r="H303" s="6" t="s">
        <v>85</v>
      </c>
      <c r="I303" s="6" t="s">
        <v>37</v>
      </c>
      <c r="J303" s="6" t="s">
        <v>598</v>
      </c>
      <c r="K303" s="6" t="s">
        <v>536</v>
      </c>
      <c r="L303" s="13" t="n">
        <v>46233</v>
      </c>
      <c r="M303" s="6" t="n">
        <v>1</v>
      </c>
      <c r="N303" s="13" t="n">
        <v>46233</v>
      </c>
      <c r="O303" s="6" t="n">
        <v>1</v>
      </c>
      <c r="P303" s="6" t="s">
        <v>539</v>
      </c>
      <c r="Q303" s="8" t="n">
        <v>8700</v>
      </c>
      <c r="R303" s="6" t="s">
        <v>89</v>
      </c>
      <c r="S303" s="8" t="n">
        <f aca="false">IF(Q303="","",IF(R303="EUR",ROUND(Q303*Параметры!$B$3,0),Q303))</f>
        <v>8700</v>
      </c>
      <c r="T303" s="6" t="s">
        <v>15</v>
      </c>
      <c r="U303" s="6" t="s">
        <v>1109</v>
      </c>
      <c r="V303" s="13" t="n">
        <v>46246</v>
      </c>
      <c r="W303" s="6" t="n">
        <f aca="false">IF(T303="Оплачено",1,0)</f>
        <v>1</v>
      </c>
      <c r="X303" s="6" t="n">
        <f aca="false">IF(OR(T303="Не дозвонились",Y303=0),0,1)</f>
        <v>1</v>
      </c>
      <c r="Y303" s="6" t="n">
        <v>1</v>
      </c>
      <c r="Z303" s="6"/>
      <c r="AA303" s="6" t="s">
        <v>1110</v>
      </c>
      <c r="AB303" s="6"/>
    </row>
    <row r="304" customFormat="false" ht="15" hidden="false" customHeight="false" outlineLevel="0" collapsed="false">
      <c r="A304" s="6" t="n">
        <v>303</v>
      </c>
      <c r="B304" s="6" t="s">
        <v>29</v>
      </c>
      <c r="C304" s="6" t="s">
        <v>1284</v>
      </c>
      <c r="D304" s="13" t="n">
        <v>46229</v>
      </c>
      <c r="E304" s="6" t="n">
        <f aca="false">MONTH(D304)</f>
        <v>7</v>
      </c>
      <c r="F304" s="6" t="s">
        <v>1285</v>
      </c>
      <c r="G304" s="6" t="s">
        <v>1286</v>
      </c>
      <c r="H304" s="6" t="s">
        <v>294</v>
      </c>
      <c r="I304" s="6" t="s">
        <v>34</v>
      </c>
      <c r="J304" s="6" t="s">
        <v>167</v>
      </c>
      <c r="K304" s="6" t="s">
        <v>267</v>
      </c>
      <c r="L304" s="13"/>
      <c r="M304" s="6" t="n">
        <v>0</v>
      </c>
      <c r="N304" s="13"/>
      <c r="O304" s="6" t="n">
        <v>0</v>
      </c>
      <c r="P304" s="6"/>
      <c r="Q304" s="8"/>
      <c r="R304" s="6"/>
      <c r="S304" s="8" t="str">
        <f aca="false">IF(Q304="","",IF(R304="EUR",ROUND(Q304*Параметры!$B$3,0),Q304))</f>
        <v/>
      </c>
      <c r="T304" s="6" t="s">
        <v>80</v>
      </c>
      <c r="U304" s="6" t="s">
        <v>117</v>
      </c>
      <c r="V304" s="13"/>
      <c r="W304" s="6" t="n">
        <f aca="false">IF(T304="Оплачено",1,0)</f>
        <v>0</v>
      </c>
      <c r="X304" s="6" t="n">
        <f aca="false">IF(OR(T304="Не дозвонились",Y304=0),0,1)</f>
        <v>0</v>
      </c>
      <c r="Y304" s="6" t="n">
        <v>1</v>
      </c>
      <c r="Z304" s="6"/>
      <c r="AA304" s="6"/>
      <c r="AB304" s="6"/>
    </row>
    <row r="305" customFormat="false" ht="15" hidden="false" customHeight="false" outlineLevel="0" collapsed="false">
      <c r="A305" s="6" t="n">
        <v>304</v>
      </c>
      <c r="B305" s="6" t="s">
        <v>28</v>
      </c>
      <c r="C305" s="6" t="s">
        <v>1287</v>
      </c>
      <c r="D305" s="13" t="n">
        <v>46230</v>
      </c>
      <c r="E305" s="6" t="n">
        <f aca="false">MONTH(D305)</f>
        <v>7</v>
      </c>
      <c r="F305" s="6" t="s">
        <v>1288</v>
      </c>
      <c r="G305" s="6" t="s">
        <v>1289</v>
      </c>
      <c r="H305" s="6" t="s">
        <v>96</v>
      </c>
      <c r="I305" s="6" t="s">
        <v>34</v>
      </c>
      <c r="J305" s="6" t="s">
        <v>34</v>
      </c>
      <c r="K305" s="6" t="s">
        <v>98</v>
      </c>
      <c r="L305" s="13" t="n">
        <v>46234</v>
      </c>
      <c r="M305" s="6" t="n">
        <v>1</v>
      </c>
      <c r="N305" s="13" t="n">
        <v>46234</v>
      </c>
      <c r="O305" s="6" t="n">
        <v>1</v>
      </c>
      <c r="P305" s="6" t="s">
        <v>1290</v>
      </c>
      <c r="Q305" s="8" t="n">
        <v>74800</v>
      </c>
      <c r="R305" s="6" t="s">
        <v>89</v>
      </c>
      <c r="S305" s="8" t="n">
        <f aca="false">IF(Q305="","",IF(R305="EUR",ROUND(Q305*Параметры!$B$3,0),Q305))</f>
        <v>74800</v>
      </c>
      <c r="T305" s="6" t="s">
        <v>71</v>
      </c>
      <c r="U305" s="6" t="s">
        <v>71</v>
      </c>
      <c r="V305" s="13"/>
      <c r="W305" s="6" t="n">
        <f aca="false">IF(T305="Оплачено",1,0)</f>
        <v>0</v>
      </c>
      <c r="X305" s="6" t="n">
        <f aca="false">IF(OR(T305="Не дозвонились",Y305=0),0,1)</f>
        <v>1</v>
      </c>
      <c r="Y305" s="6" t="n">
        <v>1</v>
      </c>
      <c r="Z305" s="6"/>
      <c r="AA305" s="6"/>
      <c r="AB305" s="6" t="s">
        <v>1291</v>
      </c>
    </row>
    <row r="306" customFormat="false" ht="15" hidden="false" customHeight="false" outlineLevel="0" collapsed="false">
      <c r="A306" s="6" t="n">
        <v>305</v>
      </c>
      <c r="B306" s="6" t="s">
        <v>28</v>
      </c>
      <c r="C306" s="6" t="s">
        <v>1292</v>
      </c>
      <c r="D306" s="13" t="n">
        <v>46230</v>
      </c>
      <c r="E306" s="6" t="n">
        <f aca="false">MONTH(D306)</f>
        <v>7</v>
      </c>
      <c r="F306" s="6" t="s">
        <v>1293</v>
      </c>
      <c r="G306" s="6" t="s">
        <v>1294</v>
      </c>
      <c r="H306" s="6" t="s">
        <v>161</v>
      </c>
      <c r="I306" s="6" t="s">
        <v>38</v>
      </c>
      <c r="J306" s="6" t="s">
        <v>38</v>
      </c>
      <c r="K306" s="6" t="s">
        <v>156</v>
      </c>
      <c r="L306" s="13"/>
      <c r="M306" s="6" t="n">
        <v>0</v>
      </c>
      <c r="N306" s="13"/>
      <c r="O306" s="6" t="n">
        <v>0</v>
      </c>
      <c r="P306" s="6"/>
      <c r="Q306" s="8"/>
      <c r="R306" s="6"/>
      <c r="S306" s="8" t="str">
        <f aca="false">IF(Q306="","",IF(R306="EUR",ROUND(Q306*Параметры!$B$3,0),Q306))</f>
        <v/>
      </c>
      <c r="T306" s="6" t="s">
        <v>71</v>
      </c>
      <c r="U306" s="6" t="s">
        <v>71</v>
      </c>
      <c r="V306" s="13"/>
      <c r="W306" s="6" t="n">
        <f aca="false">IF(T306="Оплачено",1,0)</f>
        <v>0</v>
      </c>
      <c r="X306" s="6" t="n">
        <f aca="false">IF(OR(T306="Не дозвонились",Y306=0),0,1)</f>
        <v>1</v>
      </c>
      <c r="Y306" s="6" t="n">
        <v>1</v>
      </c>
      <c r="Z306" s="6"/>
      <c r="AA306" s="6"/>
      <c r="AB306" s="6" t="s">
        <v>180</v>
      </c>
    </row>
    <row r="307" customFormat="false" ht="15" hidden="false" customHeight="false" outlineLevel="0" collapsed="false">
      <c r="A307" s="6" t="n">
        <v>306</v>
      </c>
      <c r="B307" s="6" t="s">
        <v>29</v>
      </c>
      <c r="C307" s="6" t="s">
        <v>1295</v>
      </c>
      <c r="D307" s="13" t="n">
        <v>46230</v>
      </c>
      <c r="E307" s="6" t="n">
        <f aca="false">MONTH(D307)</f>
        <v>7</v>
      </c>
      <c r="F307" s="6" t="s">
        <v>1296</v>
      </c>
      <c r="G307" s="6" t="s">
        <v>1297</v>
      </c>
      <c r="H307" s="6" t="s">
        <v>96</v>
      </c>
      <c r="I307" s="6" t="s">
        <v>34</v>
      </c>
      <c r="J307" s="6" t="s">
        <v>167</v>
      </c>
      <c r="K307" s="6" t="s">
        <v>70</v>
      </c>
      <c r="L307" s="13" t="n">
        <v>46236</v>
      </c>
      <c r="M307" s="6" t="n">
        <v>1</v>
      </c>
      <c r="N307" s="13" t="n">
        <v>46237</v>
      </c>
      <c r="O307" s="6" t="n">
        <v>1</v>
      </c>
      <c r="P307" s="6" t="s">
        <v>1298</v>
      </c>
      <c r="Q307" s="8" t="n">
        <v>8500</v>
      </c>
      <c r="R307" s="6" t="s">
        <v>89</v>
      </c>
      <c r="S307" s="8" t="n">
        <f aca="false">IF(Q307="","",IF(R307="EUR",ROUND(Q307*Параметры!$B$3,0),Q307))</f>
        <v>8500</v>
      </c>
      <c r="T307" s="6" t="s">
        <v>15</v>
      </c>
      <c r="U307" s="6" t="s">
        <v>490</v>
      </c>
      <c r="V307" s="13" t="n">
        <v>46249</v>
      </c>
      <c r="W307" s="6" t="n">
        <f aca="false">IF(T307="Оплачено",1,0)</f>
        <v>1</v>
      </c>
      <c r="X307" s="6" t="n">
        <f aca="false">IF(OR(T307="Не дозвонились",Y307=0),0,1)</f>
        <v>1</v>
      </c>
      <c r="Y307" s="6" t="n">
        <v>1</v>
      </c>
      <c r="Z307" s="6"/>
      <c r="AA307" s="6"/>
      <c r="AB307" s="6" t="s">
        <v>987</v>
      </c>
    </row>
    <row r="308" customFormat="false" ht="15" hidden="false" customHeight="false" outlineLevel="0" collapsed="false">
      <c r="A308" s="6" t="n">
        <v>307</v>
      </c>
      <c r="B308" s="6" t="s">
        <v>29</v>
      </c>
      <c r="C308" s="6" t="s">
        <v>1299</v>
      </c>
      <c r="D308" s="13" t="n">
        <v>46230</v>
      </c>
      <c r="E308" s="6" t="n">
        <f aca="false">MONTH(D308)</f>
        <v>7</v>
      </c>
      <c r="F308" s="6" t="s">
        <v>1300</v>
      </c>
      <c r="G308" s="6" t="s">
        <v>1301</v>
      </c>
      <c r="H308" s="6" t="s">
        <v>121</v>
      </c>
      <c r="I308" s="6" t="s">
        <v>35</v>
      </c>
      <c r="J308" s="6" t="s">
        <v>142</v>
      </c>
      <c r="K308" s="6" t="s">
        <v>168</v>
      </c>
      <c r="L308" s="13"/>
      <c r="M308" s="6" t="n">
        <v>0</v>
      </c>
      <c r="N308" s="13"/>
      <c r="O308" s="6" t="n">
        <v>0</v>
      </c>
      <c r="P308" s="6"/>
      <c r="Q308" s="8"/>
      <c r="R308" s="6"/>
      <c r="S308" s="8" t="str">
        <f aca="false">IF(Q308="","",IF(R308="EUR",ROUND(Q308*Параметры!$B$3,0),Q308))</f>
        <v/>
      </c>
      <c r="T308" s="6" t="s">
        <v>71</v>
      </c>
      <c r="U308" s="6" t="s">
        <v>72</v>
      </c>
      <c r="V308" s="13"/>
      <c r="W308" s="6" t="n">
        <f aca="false">IF(T308="Оплачено",1,0)</f>
        <v>0</v>
      </c>
      <c r="X308" s="6" t="n">
        <f aca="false">IF(OR(T308="Не дозвонились",Y308=0),0,1)</f>
        <v>1</v>
      </c>
      <c r="Y308" s="6" t="n">
        <v>1</v>
      </c>
      <c r="Z308" s="6"/>
      <c r="AA308" s="6"/>
      <c r="AB308" s="6" t="s">
        <v>209</v>
      </c>
    </row>
    <row r="309" customFormat="false" ht="15" hidden="false" customHeight="false" outlineLevel="0" collapsed="false">
      <c r="A309" s="6" t="n">
        <v>308</v>
      </c>
      <c r="B309" s="6" t="s">
        <v>29</v>
      </c>
      <c r="C309" s="6" t="s">
        <v>1302</v>
      </c>
      <c r="D309" s="13" t="n">
        <v>46230</v>
      </c>
      <c r="E309" s="6" t="n">
        <f aca="false">MONTH(D309)</f>
        <v>7</v>
      </c>
      <c r="F309" s="6" t="s">
        <v>1303</v>
      </c>
      <c r="G309" s="6" t="s">
        <v>1304</v>
      </c>
      <c r="H309" s="6" t="s">
        <v>114</v>
      </c>
      <c r="I309" s="6" t="s">
        <v>34</v>
      </c>
      <c r="J309" s="6" t="s">
        <v>167</v>
      </c>
      <c r="K309" s="6" t="s">
        <v>299</v>
      </c>
      <c r="L309" s="13"/>
      <c r="M309" s="6" t="n">
        <v>0</v>
      </c>
      <c r="N309" s="13"/>
      <c r="O309" s="6" t="n">
        <v>0</v>
      </c>
      <c r="P309" s="6"/>
      <c r="Q309" s="8"/>
      <c r="R309" s="6"/>
      <c r="S309" s="8" t="str">
        <f aca="false">IF(Q309="","",IF(R309="EUR",ROUND(Q309*Параметры!$B$3,0),Q309))</f>
        <v/>
      </c>
      <c r="T309" s="6" t="s">
        <v>80</v>
      </c>
      <c r="U309" s="6" t="s">
        <v>117</v>
      </c>
      <c r="V309" s="13"/>
      <c r="W309" s="6" t="n">
        <f aca="false">IF(T309="Оплачено",1,0)</f>
        <v>0</v>
      </c>
      <c r="X309" s="6" t="n">
        <f aca="false">IF(OR(T309="Не дозвонились",Y309=0),0,1)</f>
        <v>0</v>
      </c>
      <c r="Y309" s="6" t="n">
        <v>1</v>
      </c>
      <c r="Z309" s="6"/>
      <c r="AA309" s="6"/>
      <c r="AB309" s="6" t="s">
        <v>368</v>
      </c>
    </row>
    <row r="310" customFormat="false" ht="15" hidden="false" customHeight="false" outlineLevel="0" collapsed="false">
      <c r="A310" s="6" t="n">
        <v>309</v>
      </c>
      <c r="B310" s="6" t="s">
        <v>29</v>
      </c>
      <c r="C310" s="6" t="s">
        <v>1305</v>
      </c>
      <c r="D310" s="13" t="n">
        <v>46230</v>
      </c>
      <c r="E310" s="6" t="n">
        <f aca="false">MONTH(D310)</f>
        <v>7</v>
      </c>
      <c r="F310" s="6" t="s">
        <v>1306</v>
      </c>
      <c r="G310" s="6" t="s">
        <v>1307</v>
      </c>
      <c r="H310" s="6" t="s">
        <v>114</v>
      </c>
      <c r="I310" s="6" t="s">
        <v>36</v>
      </c>
      <c r="J310" s="6" t="s">
        <v>354</v>
      </c>
      <c r="K310" s="6" t="s">
        <v>175</v>
      </c>
      <c r="L310" s="13" t="n">
        <v>46233</v>
      </c>
      <c r="M310" s="6" t="n">
        <v>1</v>
      </c>
      <c r="N310" s="13" t="n">
        <v>46235</v>
      </c>
      <c r="O310" s="6" t="n">
        <v>1</v>
      </c>
      <c r="P310" s="6" t="s">
        <v>1308</v>
      </c>
      <c r="Q310" s="8" t="n">
        <v>7700</v>
      </c>
      <c r="R310" s="6" t="s">
        <v>89</v>
      </c>
      <c r="S310" s="8" t="n">
        <f aca="false">IF(Q310="","",IF(R310="EUR",ROUND(Q310*Параметры!$B$3,0),Q310))</f>
        <v>7700</v>
      </c>
      <c r="T310" s="6" t="s">
        <v>15</v>
      </c>
      <c r="U310" s="6" t="s">
        <v>621</v>
      </c>
      <c r="V310" s="13" t="n">
        <v>46238</v>
      </c>
      <c r="W310" s="6" t="n">
        <f aca="false">IF(T310="Оплачено",1,0)</f>
        <v>1</v>
      </c>
      <c r="X310" s="6" t="n">
        <f aca="false">IF(OR(T310="Не дозвонились",Y310=0),0,1)</f>
        <v>1</v>
      </c>
      <c r="Y310" s="6" t="n">
        <v>1</v>
      </c>
      <c r="Z310" s="6"/>
      <c r="AA310" s="6"/>
      <c r="AB310" s="6"/>
    </row>
    <row r="311" customFormat="false" ht="15" hidden="false" customHeight="false" outlineLevel="0" collapsed="false">
      <c r="A311" s="6" t="n">
        <v>310</v>
      </c>
      <c r="B311" s="6" t="s">
        <v>29</v>
      </c>
      <c r="C311" s="6" t="s">
        <v>1309</v>
      </c>
      <c r="D311" s="13" t="n">
        <v>46230</v>
      </c>
      <c r="E311" s="6" t="n">
        <f aca="false">MONTH(D311)</f>
        <v>7</v>
      </c>
      <c r="F311" s="6" t="s">
        <v>1310</v>
      </c>
      <c r="G311" s="6" t="s">
        <v>1311</v>
      </c>
      <c r="H311" s="6" t="s">
        <v>387</v>
      </c>
      <c r="I311" s="6" t="s">
        <v>34</v>
      </c>
      <c r="J311" s="6" t="s">
        <v>167</v>
      </c>
      <c r="K311" s="6" t="s">
        <v>143</v>
      </c>
      <c r="L311" s="13" t="n">
        <v>46231</v>
      </c>
      <c r="M311" s="6" t="n">
        <v>1</v>
      </c>
      <c r="N311" s="13" t="n">
        <v>46237</v>
      </c>
      <c r="O311" s="6" t="n">
        <v>1</v>
      </c>
      <c r="P311" s="6" t="s">
        <v>1312</v>
      </c>
      <c r="Q311" s="8" t="n">
        <v>31900</v>
      </c>
      <c r="R311" s="6" t="s">
        <v>89</v>
      </c>
      <c r="S311" s="8" t="n">
        <f aca="false">IF(Q311="","",IF(R311="EUR",ROUND(Q311*Параметры!$B$3,0),Q311))</f>
        <v>31900</v>
      </c>
      <c r="T311" s="6" t="s">
        <v>71</v>
      </c>
      <c r="U311" s="6" t="s">
        <v>72</v>
      </c>
      <c r="V311" s="13"/>
      <c r="W311" s="6" t="n">
        <f aca="false">IF(T311="Оплачено",1,0)</f>
        <v>0</v>
      </c>
      <c r="X311" s="6" t="n">
        <f aca="false">IF(OR(T311="Не дозвонились",Y311=0),0,1)</f>
        <v>1</v>
      </c>
      <c r="Y311" s="6" t="n">
        <v>1</v>
      </c>
      <c r="Z311" s="6"/>
      <c r="AA311" s="6"/>
      <c r="AB311" s="6" t="s">
        <v>258</v>
      </c>
    </row>
    <row r="312" customFormat="false" ht="15" hidden="false" customHeight="false" outlineLevel="0" collapsed="false">
      <c r="A312" s="6" t="n">
        <v>311</v>
      </c>
      <c r="B312" s="6" t="s">
        <v>30</v>
      </c>
      <c r="C312" s="6" t="s">
        <v>1313</v>
      </c>
      <c r="D312" s="13" t="n">
        <v>46230</v>
      </c>
      <c r="E312" s="6" t="n">
        <f aca="false">MONTH(D312)</f>
        <v>7</v>
      </c>
      <c r="F312" s="6" t="s">
        <v>1314</v>
      </c>
      <c r="G312" s="6" t="s">
        <v>1315</v>
      </c>
      <c r="H312" s="6" t="s">
        <v>191</v>
      </c>
      <c r="I312" s="6" t="s">
        <v>34</v>
      </c>
      <c r="J312" s="6" t="s">
        <v>383</v>
      </c>
      <c r="K312" s="6" t="s">
        <v>881</v>
      </c>
      <c r="L312" s="13"/>
      <c r="M312" s="6" t="n">
        <v>0</v>
      </c>
      <c r="N312" s="13"/>
      <c r="O312" s="6" t="n">
        <v>0</v>
      </c>
      <c r="P312" s="6"/>
      <c r="Q312" s="8"/>
      <c r="R312" s="6"/>
      <c r="S312" s="8" t="str">
        <f aca="false">IF(Q312="","",IF(R312="EUR",ROUND(Q312*Параметры!$B$3,0),Q312))</f>
        <v/>
      </c>
      <c r="T312" s="6" t="s">
        <v>71</v>
      </c>
      <c r="U312" s="6" t="s">
        <v>225</v>
      </c>
      <c r="V312" s="13"/>
      <c r="W312" s="6" t="n">
        <f aca="false">IF(T312="Оплачено",1,0)</f>
        <v>0</v>
      </c>
      <c r="X312" s="6" t="n">
        <f aca="false">IF(OR(T312="Не дозвонились",Y312=0),0,1)</f>
        <v>1</v>
      </c>
      <c r="Y312" s="6" t="n">
        <v>1</v>
      </c>
      <c r="Z312" s="6"/>
      <c r="AA312" s="6"/>
      <c r="AB312" s="6"/>
    </row>
    <row r="313" customFormat="false" ht="15" hidden="false" customHeight="false" outlineLevel="0" collapsed="false">
      <c r="A313" s="6" t="n">
        <v>312</v>
      </c>
      <c r="B313" s="6" t="s">
        <v>30</v>
      </c>
      <c r="C313" s="6" t="s">
        <v>1316</v>
      </c>
      <c r="D313" s="13" t="n">
        <v>46230</v>
      </c>
      <c r="E313" s="6" t="n">
        <f aca="false">MONTH(D313)</f>
        <v>7</v>
      </c>
      <c r="F313" s="6" t="s">
        <v>303</v>
      </c>
      <c r="G313" s="6" t="s">
        <v>1317</v>
      </c>
      <c r="H313" s="6" t="s">
        <v>850</v>
      </c>
      <c r="I313" s="6" t="s">
        <v>36</v>
      </c>
      <c r="J313" s="6" t="s">
        <v>1318</v>
      </c>
      <c r="K313" s="6" t="s">
        <v>215</v>
      </c>
      <c r="L313" s="13" t="n">
        <v>46233</v>
      </c>
      <c r="M313" s="6" t="n">
        <v>1</v>
      </c>
      <c r="N313" s="13" t="n">
        <v>46240</v>
      </c>
      <c r="O313" s="6" t="n">
        <v>1</v>
      </c>
      <c r="P313" s="6" t="s">
        <v>514</v>
      </c>
      <c r="Q313" s="8" t="n">
        <v>17500</v>
      </c>
      <c r="R313" s="6" t="s">
        <v>89</v>
      </c>
      <c r="S313" s="8" t="n">
        <f aca="false">IF(Q313="","",IF(R313="EUR",ROUND(Q313*Параметры!$B$3,0),Q313))</f>
        <v>17500</v>
      </c>
      <c r="T313" s="6" t="s">
        <v>15</v>
      </c>
      <c r="U313" s="6" t="s">
        <v>1109</v>
      </c>
      <c r="V313" s="13" t="n">
        <v>46253</v>
      </c>
      <c r="W313" s="6" t="n">
        <f aca="false">IF(T313="Оплачено",1,0)</f>
        <v>1</v>
      </c>
      <c r="X313" s="6" t="n">
        <f aca="false">IF(OR(T313="Не дозвонились",Y313=0),0,1)</f>
        <v>1</v>
      </c>
      <c r="Y313" s="6" t="n">
        <v>1</v>
      </c>
      <c r="Z313" s="6"/>
      <c r="AA313" s="6" t="s">
        <v>1110</v>
      </c>
      <c r="AB313" s="6"/>
    </row>
    <row r="314" customFormat="false" ht="15" hidden="false" customHeight="false" outlineLevel="0" collapsed="false">
      <c r="A314" s="14" t="n">
        <v>313</v>
      </c>
      <c r="B314" s="14" t="s">
        <v>30</v>
      </c>
      <c r="C314" s="14" t="s">
        <v>1319</v>
      </c>
      <c r="D314" s="15" t="n">
        <v>46230</v>
      </c>
      <c r="E314" s="14" t="n">
        <f aca="false">MONTH(D314)</f>
        <v>7</v>
      </c>
      <c r="F314" s="14" t="s">
        <v>1268</v>
      </c>
      <c r="G314" s="14" t="s">
        <v>1269</v>
      </c>
      <c r="H314" s="14" t="s">
        <v>243</v>
      </c>
      <c r="I314" s="14" t="s">
        <v>35</v>
      </c>
      <c r="J314" s="14" t="s">
        <v>148</v>
      </c>
      <c r="K314" s="14" t="s">
        <v>536</v>
      </c>
      <c r="L314" s="15"/>
      <c r="M314" s="14" t="n">
        <v>0</v>
      </c>
      <c r="N314" s="15"/>
      <c r="O314" s="14" t="n">
        <v>0</v>
      </c>
      <c r="P314" s="14"/>
      <c r="Q314" s="16"/>
      <c r="R314" s="14"/>
      <c r="S314" s="16" t="str">
        <f aca="false">IF(Q314="","",IF(R314="EUR",ROUND(Q314*Параметры!$B$3,0),Q314))</f>
        <v/>
      </c>
      <c r="T314" s="14" t="s">
        <v>497</v>
      </c>
      <c r="U314" s="14" t="s">
        <v>982</v>
      </c>
      <c r="V314" s="15"/>
      <c r="W314" s="14" t="n">
        <f aca="false">IF(T314="Оплачено",1,0)</f>
        <v>0</v>
      </c>
      <c r="X314" s="14" t="n">
        <f aca="false">IF(OR(T314="Не дозвонились",Y314=0),0,1)</f>
        <v>0</v>
      </c>
      <c r="Y314" s="14" t="n">
        <v>0</v>
      </c>
      <c r="Z314" s="14" t="s">
        <v>1320</v>
      </c>
      <c r="AA314" s="14"/>
      <c r="AB314" s="14" t="s">
        <v>737</v>
      </c>
    </row>
    <row r="315" customFormat="false" ht="15" hidden="false" customHeight="false" outlineLevel="0" collapsed="false">
      <c r="A315" s="6" t="n">
        <v>314</v>
      </c>
      <c r="B315" s="6" t="s">
        <v>28</v>
      </c>
      <c r="C315" s="6" t="s">
        <v>1321</v>
      </c>
      <c r="D315" s="13" t="n">
        <v>46231</v>
      </c>
      <c r="E315" s="6" t="n">
        <f aca="false">MONTH(D315)</f>
        <v>7</v>
      </c>
      <c r="F315" s="6" t="s">
        <v>1322</v>
      </c>
      <c r="G315" s="6" t="s">
        <v>1323</v>
      </c>
      <c r="H315" s="6" t="s">
        <v>208</v>
      </c>
      <c r="I315" s="6" t="s">
        <v>38</v>
      </c>
      <c r="J315" s="6" t="s">
        <v>38</v>
      </c>
      <c r="K315" s="6" t="s">
        <v>156</v>
      </c>
      <c r="L315" s="13" t="n">
        <v>46236</v>
      </c>
      <c r="M315" s="6" t="n">
        <v>1</v>
      </c>
      <c r="N315" s="13" t="n">
        <v>46236</v>
      </c>
      <c r="O315" s="6" t="n">
        <v>1</v>
      </c>
      <c r="P315" s="6" t="s">
        <v>1324</v>
      </c>
      <c r="Q315" s="8" t="n">
        <v>25800</v>
      </c>
      <c r="R315" s="6" t="s">
        <v>89</v>
      </c>
      <c r="S315" s="8" t="n">
        <f aca="false">IF(Q315="","",IF(R315="EUR",ROUND(Q315*Параметры!$B$3,0),Q315))</f>
        <v>25800</v>
      </c>
      <c r="T315" s="6" t="s">
        <v>15</v>
      </c>
      <c r="U315" s="6" t="s">
        <v>15</v>
      </c>
      <c r="V315" s="13" t="n">
        <v>46247</v>
      </c>
      <c r="W315" s="6" t="n">
        <f aca="false">IF(T315="Оплачено",1,0)</f>
        <v>1</v>
      </c>
      <c r="X315" s="6" t="n">
        <f aca="false">IF(OR(T315="Не дозвонились",Y315=0),0,1)</f>
        <v>1</v>
      </c>
      <c r="Y315" s="6" t="n">
        <v>1</v>
      </c>
      <c r="Z315" s="6"/>
      <c r="AA315" s="6"/>
      <c r="AB315" s="6"/>
    </row>
    <row r="316" customFormat="false" ht="15" hidden="false" customHeight="false" outlineLevel="0" collapsed="false">
      <c r="A316" s="6" t="n">
        <v>315</v>
      </c>
      <c r="B316" s="6" t="s">
        <v>28</v>
      </c>
      <c r="C316" s="6" t="s">
        <v>1325</v>
      </c>
      <c r="D316" s="13" t="n">
        <v>46231</v>
      </c>
      <c r="E316" s="6" t="n">
        <f aca="false">MONTH(D316)</f>
        <v>7</v>
      </c>
      <c r="F316" s="6" t="s">
        <v>1326</v>
      </c>
      <c r="G316" s="6" t="s">
        <v>1327</v>
      </c>
      <c r="H316" s="6" t="s">
        <v>161</v>
      </c>
      <c r="I316" s="6" t="s">
        <v>34</v>
      </c>
      <c r="J316" s="6" t="s">
        <v>34</v>
      </c>
      <c r="K316" s="6" t="s">
        <v>104</v>
      </c>
      <c r="L316" s="13" t="n">
        <v>46234</v>
      </c>
      <c r="M316" s="6" t="n">
        <v>1</v>
      </c>
      <c r="N316" s="13" t="n">
        <v>46235</v>
      </c>
      <c r="O316" s="6" t="n">
        <v>1</v>
      </c>
      <c r="P316" s="6" t="s">
        <v>1328</v>
      </c>
      <c r="Q316" s="8" t="n">
        <v>7000</v>
      </c>
      <c r="R316" s="6" t="s">
        <v>89</v>
      </c>
      <c r="S316" s="8" t="n">
        <f aca="false">IF(Q316="","",IF(R316="EUR",ROUND(Q316*Параметры!$B$3,0),Q316))</f>
        <v>7000</v>
      </c>
      <c r="T316" s="6" t="s">
        <v>15</v>
      </c>
      <c r="U316" s="6" t="s">
        <v>15</v>
      </c>
      <c r="V316" s="13" t="n">
        <v>46251</v>
      </c>
      <c r="W316" s="6" t="n">
        <f aca="false">IF(T316="Оплачено",1,0)</f>
        <v>1</v>
      </c>
      <c r="X316" s="6" t="n">
        <f aca="false">IF(OR(T316="Не дозвонились",Y316=0),0,1)</f>
        <v>1</v>
      </c>
      <c r="Y316" s="6" t="n">
        <v>1</v>
      </c>
      <c r="Z316" s="6"/>
      <c r="AA316" s="6"/>
      <c r="AB316" s="6"/>
    </row>
    <row r="317" customFormat="false" ht="15" hidden="false" customHeight="false" outlineLevel="0" collapsed="false">
      <c r="A317" s="6" t="n">
        <v>316</v>
      </c>
      <c r="B317" s="6" t="s">
        <v>30</v>
      </c>
      <c r="C317" s="6" t="s">
        <v>1329</v>
      </c>
      <c r="D317" s="13" t="n">
        <v>46231</v>
      </c>
      <c r="E317" s="6" t="n">
        <f aca="false">MONTH(D317)</f>
        <v>7</v>
      </c>
      <c r="F317" s="6" t="s">
        <v>1330</v>
      </c>
      <c r="G317" s="6" t="s">
        <v>1331</v>
      </c>
      <c r="H317" s="6" t="s">
        <v>672</v>
      </c>
      <c r="I317" s="6" t="s">
        <v>34</v>
      </c>
      <c r="J317" s="6" t="s">
        <v>273</v>
      </c>
      <c r="K317" s="6" t="s">
        <v>224</v>
      </c>
      <c r="L317" s="13" t="n">
        <v>46232</v>
      </c>
      <c r="M317" s="6" t="n">
        <v>1</v>
      </c>
      <c r="N317" s="13" t="n">
        <v>46241</v>
      </c>
      <c r="O317" s="6" t="n">
        <v>1</v>
      </c>
      <c r="P317" s="6" t="s">
        <v>1332</v>
      </c>
      <c r="Q317" s="8" t="n">
        <v>28700</v>
      </c>
      <c r="R317" s="6" t="s">
        <v>89</v>
      </c>
      <c r="S317" s="8" t="n">
        <f aca="false">IF(Q317="","",IF(R317="EUR",ROUND(Q317*Параметры!$B$3,0),Q317))</f>
        <v>28700</v>
      </c>
      <c r="T317" s="6" t="s">
        <v>90</v>
      </c>
      <c r="U317" s="6" t="s">
        <v>136</v>
      </c>
      <c r="V317" s="13"/>
      <c r="W317" s="6" t="n">
        <f aca="false">IF(T317="Оплачено",1,0)</f>
        <v>0</v>
      </c>
      <c r="X317" s="6" t="n">
        <f aca="false">IF(OR(T317="Не дозвонились",Y317=0),0,1)</f>
        <v>1</v>
      </c>
      <c r="Y317" s="6" t="n">
        <v>1</v>
      </c>
      <c r="Z317" s="6"/>
      <c r="AA317" s="6" t="s">
        <v>1333</v>
      </c>
      <c r="AB317" s="6" t="s">
        <v>204</v>
      </c>
    </row>
    <row r="318" customFormat="false" ht="15" hidden="false" customHeight="false" outlineLevel="0" collapsed="false">
      <c r="A318" s="6" t="n">
        <v>317</v>
      </c>
      <c r="B318" s="6" t="s">
        <v>28</v>
      </c>
      <c r="C318" s="6" t="s">
        <v>1334</v>
      </c>
      <c r="D318" s="13" t="n">
        <v>46232</v>
      </c>
      <c r="E318" s="6" t="n">
        <f aca="false">MONTH(D318)</f>
        <v>7</v>
      </c>
      <c r="F318" s="6" t="s">
        <v>1335</v>
      </c>
      <c r="G318" s="6" t="s">
        <v>1336</v>
      </c>
      <c r="H318" s="6" t="s">
        <v>161</v>
      </c>
      <c r="I318" s="6" t="s">
        <v>36</v>
      </c>
      <c r="J318" s="6" t="s">
        <v>253</v>
      </c>
      <c r="K318" s="6" t="s">
        <v>808</v>
      </c>
      <c r="L318" s="13" t="n">
        <v>46233</v>
      </c>
      <c r="M318" s="6" t="n">
        <v>1</v>
      </c>
      <c r="N318" s="13" t="n">
        <v>46234</v>
      </c>
      <c r="O318" s="6" t="n">
        <v>1</v>
      </c>
      <c r="P318" s="6" t="s">
        <v>1337</v>
      </c>
      <c r="Q318" s="8" t="n">
        <v>179000</v>
      </c>
      <c r="R318" s="6" t="s">
        <v>89</v>
      </c>
      <c r="S318" s="8" t="n">
        <f aca="false">IF(Q318="","",IF(R318="EUR",ROUND(Q318*Параметры!$B$3,0),Q318))</f>
        <v>179000</v>
      </c>
      <c r="T318" s="6" t="s">
        <v>15</v>
      </c>
      <c r="U318" s="6" t="s">
        <v>15</v>
      </c>
      <c r="V318" s="13" t="n">
        <v>46242</v>
      </c>
      <c r="W318" s="6" t="n">
        <f aca="false">IF(T318="Оплачено",1,0)</f>
        <v>1</v>
      </c>
      <c r="X318" s="6" t="n">
        <f aca="false">IF(OR(T318="Не дозвонились",Y318=0),0,1)</f>
        <v>1</v>
      </c>
      <c r="Y318" s="6" t="n">
        <v>1</v>
      </c>
      <c r="Z318" s="6"/>
      <c r="AA318" s="6"/>
      <c r="AB318" s="6"/>
    </row>
    <row r="319" customFormat="false" ht="15" hidden="false" customHeight="false" outlineLevel="0" collapsed="false">
      <c r="A319" s="6" t="n">
        <v>318</v>
      </c>
      <c r="B319" s="6" t="s">
        <v>29</v>
      </c>
      <c r="C319" s="6" t="s">
        <v>1338</v>
      </c>
      <c r="D319" s="13" t="n">
        <v>46232</v>
      </c>
      <c r="E319" s="6" t="n">
        <f aca="false">MONTH(D319)</f>
        <v>7</v>
      </c>
      <c r="F319" s="6" t="s">
        <v>1339</v>
      </c>
      <c r="G319" s="6" t="s">
        <v>1340</v>
      </c>
      <c r="H319" s="6" t="s">
        <v>387</v>
      </c>
      <c r="I319" s="6" t="s">
        <v>34</v>
      </c>
      <c r="J319" s="6" t="s">
        <v>383</v>
      </c>
      <c r="K319" s="6" t="s">
        <v>239</v>
      </c>
      <c r="L319" s="13"/>
      <c r="M319" s="6" t="n">
        <v>0</v>
      </c>
      <c r="N319" s="13"/>
      <c r="O319" s="6" t="n">
        <v>0</v>
      </c>
      <c r="P319" s="6"/>
      <c r="Q319" s="8"/>
      <c r="R319" s="6"/>
      <c r="S319" s="8" t="str">
        <f aca="false">IF(Q319="","",IF(R319="EUR",ROUND(Q319*Параметры!$B$3,0),Q319))</f>
        <v/>
      </c>
      <c r="T319" s="6" t="s">
        <v>71</v>
      </c>
      <c r="U319" s="6" t="s">
        <v>72</v>
      </c>
      <c r="V319" s="13"/>
      <c r="W319" s="6" t="n">
        <f aca="false">IF(T319="Оплачено",1,0)</f>
        <v>0</v>
      </c>
      <c r="X319" s="6" t="n">
        <f aca="false">IF(OR(T319="Не дозвонились",Y319=0),0,1)</f>
        <v>1</v>
      </c>
      <c r="Y319" s="6" t="n">
        <v>1</v>
      </c>
      <c r="Z319" s="6"/>
      <c r="AA319" s="6"/>
      <c r="AB319" s="6" t="s">
        <v>235</v>
      </c>
    </row>
    <row r="320" customFormat="false" ht="15" hidden="false" customHeight="false" outlineLevel="0" collapsed="false">
      <c r="A320" s="6" t="n">
        <v>319</v>
      </c>
      <c r="B320" s="6" t="s">
        <v>29</v>
      </c>
      <c r="C320" s="6" t="s">
        <v>1341</v>
      </c>
      <c r="D320" s="13" t="n">
        <v>46232</v>
      </c>
      <c r="E320" s="6" t="n">
        <f aca="false">MONTH(D320)</f>
        <v>7</v>
      </c>
      <c r="F320" s="6" t="s">
        <v>1342</v>
      </c>
      <c r="G320" s="6" t="s">
        <v>1343</v>
      </c>
      <c r="H320" s="6" t="s">
        <v>96</v>
      </c>
      <c r="I320" s="6" t="s">
        <v>34</v>
      </c>
      <c r="J320" s="6" t="s">
        <v>167</v>
      </c>
      <c r="K320" s="6" t="s">
        <v>239</v>
      </c>
      <c r="L320" s="13"/>
      <c r="M320" s="6" t="n">
        <v>0</v>
      </c>
      <c r="N320" s="13"/>
      <c r="O320" s="6" t="n">
        <v>0</v>
      </c>
      <c r="P320" s="6"/>
      <c r="Q320" s="8"/>
      <c r="R320" s="6"/>
      <c r="S320" s="8" t="str">
        <f aca="false">IF(Q320="","",IF(R320="EUR",ROUND(Q320*Параметры!$B$3,0),Q320))</f>
        <v/>
      </c>
      <c r="T320" s="6" t="s">
        <v>71</v>
      </c>
      <c r="U320" s="6" t="s">
        <v>72</v>
      </c>
      <c r="V320" s="13"/>
      <c r="W320" s="6" t="n">
        <f aca="false">IF(T320="Оплачено",1,0)</f>
        <v>0</v>
      </c>
      <c r="X320" s="6" t="n">
        <f aca="false">IF(OR(T320="Не дозвонились",Y320=0),0,1)</f>
        <v>1</v>
      </c>
      <c r="Y320" s="6" t="n">
        <v>1</v>
      </c>
      <c r="Z320" s="6"/>
      <c r="AA320" s="6"/>
      <c r="AB320" s="6" t="s">
        <v>230</v>
      </c>
    </row>
    <row r="321" customFormat="false" ht="15" hidden="false" customHeight="false" outlineLevel="0" collapsed="false">
      <c r="A321" s="6" t="n">
        <v>320</v>
      </c>
      <c r="B321" s="6" t="s">
        <v>29</v>
      </c>
      <c r="C321" s="6" t="s">
        <v>1344</v>
      </c>
      <c r="D321" s="13" t="n">
        <v>46232</v>
      </c>
      <c r="E321" s="6" t="n">
        <f aca="false">MONTH(D321)</f>
        <v>7</v>
      </c>
      <c r="F321" s="6" t="s">
        <v>1345</v>
      </c>
      <c r="G321" s="6" t="s">
        <v>1346</v>
      </c>
      <c r="H321" s="6" t="s">
        <v>1276</v>
      </c>
      <c r="I321" s="6" t="s">
        <v>35</v>
      </c>
      <c r="J321" s="6" t="s">
        <v>142</v>
      </c>
      <c r="K321" s="6" t="s">
        <v>299</v>
      </c>
      <c r="L321" s="13"/>
      <c r="M321" s="6" t="n">
        <v>0</v>
      </c>
      <c r="N321" s="13"/>
      <c r="O321" s="6" t="n">
        <v>0</v>
      </c>
      <c r="P321" s="6"/>
      <c r="Q321" s="8"/>
      <c r="R321" s="6"/>
      <c r="S321" s="8" t="str">
        <f aca="false">IF(Q321="","",IF(R321="EUR",ROUND(Q321*Параметры!$B$3,0),Q321))</f>
        <v/>
      </c>
      <c r="T321" s="6" t="s">
        <v>80</v>
      </c>
      <c r="U321" s="6" t="s">
        <v>117</v>
      </c>
      <c r="V321" s="13"/>
      <c r="W321" s="6" t="n">
        <f aca="false">IF(T321="Оплачено",1,0)</f>
        <v>0</v>
      </c>
      <c r="X321" s="6" t="n">
        <f aca="false">IF(OR(T321="Не дозвонились",Y321=0),0,1)</f>
        <v>0</v>
      </c>
      <c r="Y321" s="6" t="n">
        <v>1</v>
      </c>
      <c r="Z321" s="6"/>
      <c r="AA321" s="6"/>
      <c r="AB321" s="6"/>
    </row>
    <row r="322" customFormat="false" ht="15" hidden="false" customHeight="false" outlineLevel="0" collapsed="false">
      <c r="A322" s="6" t="n">
        <v>321</v>
      </c>
      <c r="B322" s="6" t="s">
        <v>30</v>
      </c>
      <c r="C322" s="6" t="s">
        <v>1347</v>
      </c>
      <c r="D322" s="13" t="n">
        <v>46232</v>
      </c>
      <c r="E322" s="6" t="n">
        <f aca="false">MONTH(D322)</f>
        <v>7</v>
      </c>
      <c r="F322" s="6" t="s">
        <v>1348</v>
      </c>
      <c r="G322" s="6" t="s">
        <v>1349</v>
      </c>
      <c r="H322" s="6" t="s">
        <v>147</v>
      </c>
      <c r="I322" s="6" t="s">
        <v>34</v>
      </c>
      <c r="J322" s="6" t="s">
        <v>273</v>
      </c>
      <c r="K322" s="6" t="s">
        <v>149</v>
      </c>
      <c r="L322" s="13"/>
      <c r="M322" s="6" t="n">
        <v>0</v>
      </c>
      <c r="N322" s="13"/>
      <c r="O322" s="6" t="n">
        <v>0</v>
      </c>
      <c r="P322" s="6"/>
      <c r="Q322" s="8"/>
      <c r="R322" s="6"/>
      <c r="S322" s="8" t="str">
        <f aca="false">IF(Q322="","",IF(R322="EUR",ROUND(Q322*Параметры!$B$3,0),Q322))</f>
        <v/>
      </c>
      <c r="T322" s="6" t="s">
        <v>150</v>
      </c>
      <c r="U322" s="6" t="s">
        <v>151</v>
      </c>
      <c r="V322" s="13"/>
      <c r="W322" s="6" t="n">
        <f aca="false">IF(T322="Оплачено",1,0)</f>
        <v>0</v>
      </c>
      <c r="X322" s="6" t="n">
        <f aca="false">IF(OR(T322="Не дозвонились",Y322=0),0,1)</f>
        <v>1</v>
      </c>
      <c r="Y322" s="6" t="n">
        <v>1</v>
      </c>
      <c r="Z322" s="6"/>
      <c r="AA322" s="6"/>
      <c r="AB322" s="6"/>
    </row>
    <row r="323" customFormat="false" ht="15" hidden="false" customHeight="false" outlineLevel="0" collapsed="false">
      <c r="A323" s="6" t="n">
        <v>322</v>
      </c>
      <c r="B323" s="6" t="s">
        <v>28</v>
      </c>
      <c r="C323" s="6" t="s">
        <v>1350</v>
      </c>
      <c r="D323" s="13" t="n">
        <v>46233</v>
      </c>
      <c r="E323" s="6" t="n">
        <f aca="false">MONTH(D323)</f>
        <v>7</v>
      </c>
      <c r="F323" s="6" t="s">
        <v>1351</v>
      </c>
      <c r="G323" s="6" t="s">
        <v>1352</v>
      </c>
      <c r="H323" s="6" t="s">
        <v>155</v>
      </c>
      <c r="I323" s="6" t="s">
        <v>34</v>
      </c>
      <c r="J323" s="6" t="s">
        <v>34</v>
      </c>
      <c r="K323" s="6" t="s">
        <v>202</v>
      </c>
      <c r="L323" s="13" t="n">
        <v>46234</v>
      </c>
      <c r="M323" s="6" t="n">
        <v>1</v>
      </c>
      <c r="N323" s="13" t="n">
        <v>46242</v>
      </c>
      <c r="O323" s="6" t="n">
        <v>1</v>
      </c>
      <c r="P323" s="6" t="s">
        <v>1353</v>
      </c>
      <c r="Q323" s="8" t="n">
        <v>38400</v>
      </c>
      <c r="R323" s="6" t="s">
        <v>89</v>
      </c>
      <c r="S323" s="8" t="n">
        <f aca="false">IF(Q323="","",IF(R323="EUR",ROUND(Q323*Параметры!$B$3,0),Q323))</f>
        <v>38400</v>
      </c>
      <c r="T323" s="6" t="s">
        <v>15</v>
      </c>
      <c r="U323" s="6" t="s">
        <v>15</v>
      </c>
      <c r="V323" s="13" t="n">
        <v>46255</v>
      </c>
      <c r="W323" s="6" t="n">
        <f aca="false">IF(T323="Оплачено",1,0)</f>
        <v>1</v>
      </c>
      <c r="X323" s="6" t="n">
        <f aca="false">IF(OR(T323="Не дозвонились",Y323=0),0,1)</f>
        <v>1</v>
      </c>
      <c r="Y323" s="6" t="n">
        <v>1</v>
      </c>
      <c r="Z323" s="6"/>
      <c r="AA323" s="6"/>
      <c r="AB323" s="6"/>
    </row>
    <row r="324" customFormat="false" ht="15" hidden="false" customHeight="false" outlineLevel="0" collapsed="false">
      <c r="A324" s="14" t="n">
        <v>323</v>
      </c>
      <c r="B324" s="14" t="s">
        <v>28</v>
      </c>
      <c r="C324" s="14" t="s">
        <v>1354</v>
      </c>
      <c r="D324" s="15" t="n">
        <v>46233</v>
      </c>
      <c r="E324" s="14" t="n">
        <f aca="false">MONTH(D324)</f>
        <v>7</v>
      </c>
      <c r="F324" s="14" t="s">
        <v>1355</v>
      </c>
      <c r="G324" s="14" t="s">
        <v>1356</v>
      </c>
      <c r="H324" s="14" t="s">
        <v>103</v>
      </c>
      <c r="I324" s="14" t="s">
        <v>37</v>
      </c>
      <c r="J324" s="14" t="s">
        <v>313</v>
      </c>
      <c r="K324" s="14" t="s">
        <v>234</v>
      </c>
      <c r="L324" s="15"/>
      <c r="M324" s="14" t="n">
        <v>0</v>
      </c>
      <c r="N324" s="15"/>
      <c r="O324" s="14" t="n">
        <v>0</v>
      </c>
      <c r="P324" s="14"/>
      <c r="Q324" s="16"/>
      <c r="R324" s="14"/>
      <c r="S324" s="16" t="str">
        <f aca="false">IF(Q324="","",IF(R324="EUR",ROUND(Q324*Параметры!$B$3,0),Q324))</f>
        <v/>
      </c>
      <c r="T324" s="14" t="s">
        <v>427</v>
      </c>
      <c r="U324" s="14" t="s">
        <v>428</v>
      </c>
      <c r="V324" s="15"/>
      <c r="W324" s="14" t="n">
        <f aca="false">IF(T324="Оплачено",1,0)</f>
        <v>0</v>
      </c>
      <c r="X324" s="14" t="n">
        <f aca="false">IF(OR(T324="Не дозвонились",Y324=0),0,1)</f>
        <v>0</v>
      </c>
      <c r="Y324" s="14" t="n">
        <v>0</v>
      </c>
      <c r="Z324" s="14" t="s">
        <v>1357</v>
      </c>
      <c r="AA324" s="14"/>
      <c r="AB324" s="14"/>
    </row>
    <row r="325" customFormat="false" ht="15" hidden="false" customHeight="false" outlineLevel="0" collapsed="false">
      <c r="A325" s="6" t="n">
        <v>324</v>
      </c>
      <c r="B325" s="6" t="s">
        <v>29</v>
      </c>
      <c r="C325" s="6" t="s">
        <v>1358</v>
      </c>
      <c r="D325" s="13" t="n">
        <v>46233</v>
      </c>
      <c r="E325" s="6" t="n">
        <f aca="false">MONTH(D325)</f>
        <v>7</v>
      </c>
      <c r="F325" s="6" t="s">
        <v>1359</v>
      </c>
      <c r="G325" s="6" t="s">
        <v>1360</v>
      </c>
      <c r="H325" s="6" t="s">
        <v>114</v>
      </c>
      <c r="I325" s="6" t="s">
        <v>36</v>
      </c>
      <c r="J325" s="6" t="s">
        <v>354</v>
      </c>
      <c r="K325" s="6" t="s">
        <v>1227</v>
      </c>
      <c r="L325" s="13" t="n">
        <v>46234</v>
      </c>
      <c r="M325" s="6" t="n">
        <v>1</v>
      </c>
      <c r="N325" s="13" t="n">
        <v>46241</v>
      </c>
      <c r="O325" s="6" t="n">
        <v>1</v>
      </c>
      <c r="P325" s="6" t="s">
        <v>1361</v>
      </c>
      <c r="Q325" s="8" t="n">
        <v>71600</v>
      </c>
      <c r="R325" s="6" t="s">
        <v>89</v>
      </c>
      <c r="S325" s="8" t="n">
        <f aca="false">IF(Q325="","",IF(R325="EUR",ROUND(Q325*Параметры!$B$3,0),Q325))</f>
        <v>71600</v>
      </c>
      <c r="T325" s="6" t="s">
        <v>71</v>
      </c>
      <c r="U325" s="6" t="s">
        <v>301</v>
      </c>
      <c r="V325" s="13"/>
      <c r="W325" s="6" t="n">
        <f aca="false">IF(T325="Оплачено",1,0)</f>
        <v>0</v>
      </c>
      <c r="X325" s="6" t="n">
        <f aca="false">IF(OR(T325="Не дозвонились",Y325=0),0,1)</f>
        <v>1</v>
      </c>
      <c r="Y325" s="6" t="n">
        <v>1</v>
      </c>
      <c r="Z325" s="6"/>
      <c r="AA325" s="6"/>
      <c r="AB325" s="6" t="s">
        <v>889</v>
      </c>
    </row>
    <row r="326" customFormat="false" ht="15" hidden="false" customHeight="false" outlineLevel="0" collapsed="false">
      <c r="A326" s="6" t="n">
        <v>325</v>
      </c>
      <c r="B326" s="6" t="s">
        <v>29</v>
      </c>
      <c r="C326" s="6" t="s">
        <v>1362</v>
      </c>
      <c r="D326" s="13" t="n">
        <v>46233</v>
      </c>
      <c r="E326" s="6" t="n">
        <f aca="false">MONTH(D326)</f>
        <v>7</v>
      </c>
      <c r="F326" s="6" t="s">
        <v>1363</v>
      </c>
      <c r="G326" s="6" t="s">
        <v>1364</v>
      </c>
      <c r="H326" s="6" t="s">
        <v>1365</v>
      </c>
      <c r="I326" s="6" t="s">
        <v>37</v>
      </c>
      <c r="J326" s="6" t="s">
        <v>115</v>
      </c>
      <c r="K326" s="6" t="s">
        <v>128</v>
      </c>
      <c r="L326" s="13" t="n">
        <v>46238</v>
      </c>
      <c r="M326" s="6" t="n">
        <v>1</v>
      </c>
      <c r="N326" s="13"/>
      <c r="O326" s="6" t="n">
        <v>0</v>
      </c>
      <c r="P326" s="6"/>
      <c r="Q326" s="8"/>
      <c r="R326" s="6"/>
      <c r="S326" s="8" t="str">
        <f aca="false">IF(Q326="","",IF(R326="EUR",ROUND(Q326*Параметры!$B$3,0),Q326))</f>
        <v/>
      </c>
      <c r="T326" s="6" t="s">
        <v>71</v>
      </c>
      <c r="U326" s="6" t="s">
        <v>72</v>
      </c>
      <c r="V326" s="13"/>
      <c r="W326" s="6" t="n">
        <f aca="false">IF(T326="Оплачено",1,0)</f>
        <v>0</v>
      </c>
      <c r="X326" s="6" t="n">
        <f aca="false">IF(OR(T326="Не дозвонились",Y326=0),0,1)</f>
        <v>1</v>
      </c>
      <c r="Y326" s="6" t="n">
        <v>1</v>
      </c>
      <c r="Z326" s="6"/>
      <c r="AA326" s="6"/>
      <c r="AB326" s="6"/>
    </row>
    <row r="327" customFormat="false" ht="15" hidden="false" customHeight="false" outlineLevel="0" collapsed="false">
      <c r="A327" s="6" t="n">
        <v>326</v>
      </c>
      <c r="B327" s="6" t="s">
        <v>29</v>
      </c>
      <c r="C327" s="6" t="s">
        <v>1366</v>
      </c>
      <c r="D327" s="13" t="n">
        <v>46233</v>
      </c>
      <c r="E327" s="6" t="n">
        <f aca="false">MONTH(D327)</f>
        <v>7</v>
      </c>
      <c r="F327" s="6" t="s">
        <v>1367</v>
      </c>
      <c r="G327" s="6" t="s">
        <v>1368</v>
      </c>
      <c r="H327" s="6" t="s">
        <v>114</v>
      </c>
      <c r="I327" s="6" t="s">
        <v>34</v>
      </c>
      <c r="J327" s="6" t="s">
        <v>167</v>
      </c>
      <c r="K327" s="6" t="s">
        <v>175</v>
      </c>
      <c r="L327" s="13"/>
      <c r="M327" s="6" t="n">
        <v>0</v>
      </c>
      <c r="N327" s="13"/>
      <c r="O327" s="6" t="n">
        <v>0</v>
      </c>
      <c r="P327" s="6"/>
      <c r="Q327" s="8"/>
      <c r="R327" s="6"/>
      <c r="S327" s="8" t="str">
        <f aca="false">IF(Q327="","",IF(R327="EUR",ROUND(Q327*Параметры!$B$3,0),Q327))</f>
        <v/>
      </c>
      <c r="T327" s="6" t="s">
        <v>71</v>
      </c>
      <c r="U327" s="6" t="s">
        <v>72</v>
      </c>
      <c r="V327" s="13"/>
      <c r="W327" s="6" t="n">
        <f aca="false">IF(T327="Оплачено",1,0)</f>
        <v>0</v>
      </c>
      <c r="X327" s="6" t="n">
        <f aca="false">IF(OR(T327="Не дозвонились",Y327=0),0,1)</f>
        <v>1</v>
      </c>
      <c r="Y327" s="6" t="n">
        <v>1</v>
      </c>
      <c r="Z327" s="6"/>
      <c r="AA327" s="6"/>
      <c r="AB327" s="6" t="s">
        <v>1057</v>
      </c>
    </row>
    <row r="328" customFormat="false" ht="15" hidden="false" customHeight="false" outlineLevel="0" collapsed="false">
      <c r="A328" s="6" t="n">
        <v>327</v>
      </c>
      <c r="B328" s="6" t="s">
        <v>30</v>
      </c>
      <c r="C328" s="6" t="s">
        <v>1369</v>
      </c>
      <c r="D328" s="13" t="n">
        <v>46233</v>
      </c>
      <c r="E328" s="6" t="n">
        <f aca="false">MONTH(D328)</f>
        <v>7</v>
      </c>
      <c r="F328" s="6" t="s">
        <v>1370</v>
      </c>
      <c r="G328" s="6" t="s">
        <v>1356</v>
      </c>
      <c r="H328" s="6" t="s">
        <v>161</v>
      </c>
      <c r="I328" s="6" t="s">
        <v>37</v>
      </c>
      <c r="J328" s="6" t="s">
        <v>86</v>
      </c>
      <c r="K328" s="6" t="s">
        <v>329</v>
      </c>
      <c r="L328" s="13"/>
      <c r="M328" s="6" t="n">
        <v>0</v>
      </c>
      <c r="N328" s="13"/>
      <c r="O328" s="6" t="n">
        <v>0</v>
      </c>
      <c r="P328" s="6"/>
      <c r="Q328" s="8"/>
      <c r="R328" s="6"/>
      <c r="S328" s="8" t="str">
        <f aca="false">IF(Q328="","",IF(R328="EUR",ROUND(Q328*Параметры!$B$3,0),Q328))</f>
        <v/>
      </c>
      <c r="T328" s="6" t="s">
        <v>71</v>
      </c>
      <c r="U328" s="6" t="s">
        <v>72</v>
      </c>
      <c r="V328" s="13"/>
      <c r="W328" s="6" t="n">
        <f aca="false">IF(T328="Оплачено",1,0)</f>
        <v>0</v>
      </c>
      <c r="X328" s="6" t="n">
        <f aca="false">IF(OR(T328="Не дозвонились",Y328=0),0,1)</f>
        <v>1</v>
      </c>
      <c r="Y328" s="6" t="n">
        <v>1</v>
      </c>
      <c r="Z328" s="6"/>
      <c r="AA328" s="6" t="s">
        <v>1371</v>
      </c>
      <c r="AB328" s="6"/>
    </row>
    <row r="329" customFormat="false" ht="15" hidden="false" customHeight="false" outlineLevel="0" collapsed="false">
      <c r="A329" s="6" t="n">
        <v>328</v>
      </c>
      <c r="B329" s="6" t="s">
        <v>29</v>
      </c>
      <c r="C329" s="6" t="s">
        <v>1372</v>
      </c>
      <c r="D329" s="13" t="n">
        <v>46234</v>
      </c>
      <c r="E329" s="6" t="n">
        <f aca="false">MONTH(D329)</f>
        <v>7</v>
      </c>
      <c r="F329" s="6" t="s">
        <v>1373</v>
      </c>
      <c r="G329" s="6" t="s">
        <v>1374</v>
      </c>
      <c r="H329" s="6" t="s">
        <v>298</v>
      </c>
      <c r="I329" s="6" t="s">
        <v>35</v>
      </c>
      <c r="J329" s="6" t="s">
        <v>35</v>
      </c>
      <c r="K329" s="6" t="s">
        <v>70</v>
      </c>
      <c r="L329" s="13"/>
      <c r="M329" s="6" t="n">
        <v>0</v>
      </c>
      <c r="N329" s="13"/>
      <c r="O329" s="6" t="n">
        <v>0</v>
      </c>
      <c r="P329" s="6"/>
      <c r="Q329" s="8"/>
      <c r="R329" s="6"/>
      <c r="S329" s="8" t="str">
        <f aca="false">IF(Q329="","",IF(R329="EUR",ROUND(Q329*Параметры!$B$3,0),Q329))</f>
        <v/>
      </c>
      <c r="T329" s="6" t="s">
        <v>80</v>
      </c>
      <c r="U329" s="6" t="s">
        <v>117</v>
      </c>
      <c r="V329" s="13"/>
      <c r="W329" s="6" t="n">
        <f aca="false">IF(T329="Оплачено",1,0)</f>
        <v>0</v>
      </c>
      <c r="X329" s="6" t="n">
        <f aca="false">IF(OR(T329="Не дозвонились",Y329=0),0,1)</f>
        <v>0</v>
      </c>
      <c r="Y329" s="6" t="n">
        <v>1</v>
      </c>
      <c r="Z329" s="6"/>
      <c r="AA329" s="6"/>
      <c r="AB329" s="6"/>
    </row>
    <row r="330" customFormat="false" ht="15" hidden="false" customHeight="false" outlineLevel="0" collapsed="false">
      <c r="A330" s="6" t="n">
        <v>329</v>
      </c>
      <c r="B330" s="6" t="s">
        <v>29</v>
      </c>
      <c r="C330" s="6" t="s">
        <v>1375</v>
      </c>
      <c r="D330" s="13" t="n">
        <v>46234</v>
      </c>
      <c r="E330" s="6" t="n">
        <f aca="false">MONTH(D330)</f>
        <v>7</v>
      </c>
      <c r="F330" s="6" t="s">
        <v>1376</v>
      </c>
      <c r="G330" s="6" t="s">
        <v>1377</v>
      </c>
      <c r="H330" s="6" t="s">
        <v>114</v>
      </c>
      <c r="I330" s="6" t="s">
        <v>38</v>
      </c>
      <c r="J330" s="6" t="s">
        <v>38</v>
      </c>
      <c r="K330" s="6" t="s">
        <v>344</v>
      </c>
      <c r="L330" s="13"/>
      <c r="M330" s="6" t="n">
        <v>0</v>
      </c>
      <c r="N330" s="13"/>
      <c r="O330" s="6" t="n">
        <v>0</v>
      </c>
      <c r="P330" s="6"/>
      <c r="Q330" s="8"/>
      <c r="R330" s="6"/>
      <c r="S330" s="8" t="str">
        <f aca="false">IF(Q330="","",IF(R330="EUR",ROUND(Q330*Параметры!$B$3,0),Q330))</f>
        <v/>
      </c>
      <c r="T330" s="6" t="s">
        <v>71</v>
      </c>
      <c r="U330" s="6" t="s">
        <v>72</v>
      </c>
      <c r="V330" s="13"/>
      <c r="W330" s="6" t="n">
        <f aca="false">IF(T330="Оплачено",1,0)</f>
        <v>0</v>
      </c>
      <c r="X330" s="6" t="n">
        <f aca="false">IF(OR(T330="Не дозвонились",Y330=0),0,1)</f>
        <v>1</v>
      </c>
      <c r="Y330" s="6" t="n">
        <v>1</v>
      </c>
      <c r="Z330" s="6"/>
      <c r="AA330" s="6"/>
      <c r="AB330" s="6"/>
    </row>
    <row r="331" customFormat="false" ht="15" hidden="false" customHeight="false" outlineLevel="0" collapsed="false">
      <c r="A331" s="6" t="n">
        <v>330</v>
      </c>
      <c r="B331" s="6" t="s">
        <v>29</v>
      </c>
      <c r="C331" s="6" t="s">
        <v>1378</v>
      </c>
      <c r="D331" s="13" t="n">
        <v>46234</v>
      </c>
      <c r="E331" s="6" t="n">
        <f aca="false">MONTH(D331)</f>
        <v>7</v>
      </c>
      <c r="F331" s="6" t="s">
        <v>1379</v>
      </c>
      <c r="G331" s="6" t="s">
        <v>1380</v>
      </c>
      <c r="H331" s="6" t="s">
        <v>114</v>
      </c>
      <c r="I331" s="6" t="s">
        <v>34</v>
      </c>
      <c r="J331" s="6" t="s">
        <v>167</v>
      </c>
      <c r="K331" s="6" t="s">
        <v>128</v>
      </c>
      <c r="L331" s="13" t="n">
        <v>46239</v>
      </c>
      <c r="M331" s="6" t="n">
        <v>1</v>
      </c>
      <c r="N331" s="13" t="n">
        <v>46243</v>
      </c>
      <c r="O331" s="6" t="n">
        <v>1</v>
      </c>
      <c r="P331" s="6" t="s">
        <v>1381</v>
      </c>
      <c r="Q331" s="8" t="n">
        <v>40500</v>
      </c>
      <c r="R331" s="6" t="s">
        <v>89</v>
      </c>
      <c r="S331" s="8" t="n">
        <f aca="false">IF(Q331="","",IF(R331="EUR",ROUND(Q331*Параметры!$B$3,0),Q331))</f>
        <v>40500</v>
      </c>
      <c r="T331" s="6" t="s">
        <v>71</v>
      </c>
      <c r="U331" s="6" t="s">
        <v>72</v>
      </c>
      <c r="V331" s="13"/>
      <c r="W331" s="6" t="n">
        <f aca="false">IF(T331="Оплачено",1,0)</f>
        <v>0</v>
      </c>
      <c r="X331" s="6" t="n">
        <f aca="false">IF(OR(T331="Не дозвонились",Y331=0),0,1)</f>
        <v>1</v>
      </c>
      <c r="Y331" s="6" t="n">
        <v>1</v>
      </c>
      <c r="Z331" s="6"/>
      <c r="AA331" s="6"/>
      <c r="AB331" s="6" t="s">
        <v>1382</v>
      </c>
    </row>
    <row r="332" customFormat="false" ht="15" hidden="false" customHeight="false" outlineLevel="0" collapsed="false">
      <c r="A332" s="6" t="n">
        <v>331</v>
      </c>
      <c r="B332" s="6" t="s">
        <v>30</v>
      </c>
      <c r="C332" s="6" t="s">
        <v>1383</v>
      </c>
      <c r="D332" s="13" t="n">
        <v>46234</v>
      </c>
      <c r="E332" s="6" t="n">
        <f aca="false">MONTH(D332)</f>
        <v>7</v>
      </c>
      <c r="F332" s="6" t="s">
        <v>1384</v>
      </c>
      <c r="G332" s="6" t="s">
        <v>1385</v>
      </c>
      <c r="H332" s="6" t="s">
        <v>161</v>
      </c>
      <c r="I332" s="6" t="s">
        <v>35</v>
      </c>
      <c r="J332" s="6" t="s">
        <v>142</v>
      </c>
      <c r="K332" s="6" t="s">
        <v>224</v>
      </c>
      <c r="L332" s="13"/>
      <c r="M332" s="6" t="n">
        <v>0</v>
      </c>
      <c r="N332" s="13"/>
      <c r="O332" s="6" t="n">
        <v>0</v>
      </c>
      <c r="P332" s="6"/>
      <c r="Q332" s="8"/>
      <c r="R332" s="6"/>
      <c r="S332" s="8" t="str">
        <f aca="false">IF(Q332="","",IF(R332="EUR",ROUND(Q332*Параметры!$B$3,0),Q332))</f>
        <v/>
      </c>
      <c r="T332" s="6" t="s">
        <v>150</v>
      </c>
      <c r="U332" s="6" t="s">
        <v>151</v>
      </c>
      <c r="V332" s="13"/>
      <c r="W332" s="6" t="n">
        <f aca="false">IF(T332="Оплачено",1,0)</f>
        <v>0</v>
      </c>
      <c r="X332" s="6" t="n">
        <f aca="false">IF(OR(T332="Не дозвонились",Y332=0),0,1)</f>
        <v>1</v>
      </c>
      <c r="Y332" s="6" t="n">
        <v>1</v>
      </c>
      <c r="Z332" s="6"/>
      <c r="AA332" s="6"/>
      <c r="AB332" s="6" t="s">
        <v>1057</v>
      </c>
    </row>
    <row r="333" customFormat="false" ht="15" hidden="false" customHeight="false" outlineLevel="0" collapsed="false">
      <c r="A333" s="6" t="n">
        <v>332</v>
      </c>
      <c r="B333" s="6" t="s">
        <v>29</v>
      </c>
      <c r="C333" s="6" t="s">
        <v>1386</v>
      </c>
      <c r="D333" s="13" t="n">
        <v>46235</v>
      </c>
      <c r="E333" s="6" t="n">
        <f aca="false">MONTH(D333)</f>
        <v>8</v>
      </c>
      <c r="F333" s="6" t="s">
        <v>1387</v>
      </c>
      <c r="G333" s="6" t="s">
        <v>1388</v>
      </c>
      <c r="H333" s="6" t="s">
        <v>96</v>
      </c>
      <c r="I333" s="6" t="s">
        <v>34</v>
      </c>
      <c r="J333" s="6" t="s">
        <v>383</v>
      </c>
      <c r="K333" s="6" t="s">
        <v>143</v>
      </c>
      <c r="L333" s="13" t="n">
        <v>46239</v>
      </c>
      <c r="M333" s="6" t="n">
        <v>1</v>
      </c>
      <c r="N333" s="13" t="n">
        <v>46245</v>
      </c>
      <c r="O333" s="6" t="n">
        <v>1</v>
      </c>
      <c r="P333" s="6" t="s">
        <v>1389</v>
      </c>
      <c r="Q333" s="8" t="n">
        <v>31700</v>
      </c>
      <c r="R333" s="6" t="s">
        <v>89</v>
      </c>
      <c r="S333" s="8" t="n">
        <f aca="false">IF(Q333="","",IF(R333="EUR",ROUND(Q333*Параметры!$B$3,0),Q333))</f>
        <v>31700</v>
      </c>
      <c r="T333" s="6" t="s">
        <v>90</v>
      </c>
      <c r="U333" s="6" t="s">
        <v>123</v>
      </c>
      <c r="V333" s="13"/>
      <c r="W333" s="6" t="n">
        <f aca="false">IF(T333="Оплачено",1,0)</f>
        <v>0</v>
      </c>
      <c r="X333" s="6" t="n">
        <f aca="false">IF(OR(T333="Не дозвонились",Y333=0),0,1)</f>
        <v>1</v>
      </c>
      <c r="Y333" s="6" t="n">
        <v>1</v>
      </c>
      <c r="Z333" s="6"/>
      <c r="AA333" s="6"/>
      <c r="AB333" s="6" t="s">
        <v>92</v>
      </c>
    </row>
    <row r="334" customFormat="false" ht="15" hidden="false" customHeight="false" outlineLevel="0" collapsed="false">
      <c r="A334" s="6" t="n">
        <v>333</v>
      </c>
      <c r="B334" s="6" t="s">
        <v>29</v>
      </c>
      <c r="C334" s="6" t="s">
        <v>1390</v>
      </c>
      <c r="D334" s="13" t="n">
        <v>46235</v>
      </c>
      <c r="E334" s="6" t="n">
        <f aca="false">MONTH(D334)</f>
        <v>8</v>
      </c>
      <c r="F334" s="6" t="s">
        <v>1391</v>
      </c>
      <c r="G334" s="6" t="s">
        <v>1392</v>
      </c>
      <c r="H334" s="6" t="s">
        <v>114</v>
      </c>
      <c r="I334" s="6" t="s">
        <v>36</v>
      </c>
      <c r="J334" s="6" t="s">
        <v>354</v>
      </c>
      <c r="K334" s="6" t="s">
        <v>267</v>
      </c>
      <c r="L334" s="13"/>
      <c r="M334" s="6" t="n">
        <v>0</v>
      </c>
      <c r="N334" s="13"/>
      <c r="O334" s="6" t="n">
        <v>0</v>
      </c>
      <c r="P334" s="6"/>
      <c r="Q334" s="8"/>
      <c r="R334" s="6"/>
      <c r="S334" s="8" t="str">
        <f aca="false">IF(Q334="","",IF(R334="EUR",ROUND(Q334*Параметры!$B$3,0),Q334))</f>
        <v/>
      </c>
      <c r="T334" s="6" t="s">
        <v>71</v>
      </c>
      <c r="U334" s="6" t="s">
        <v>72</v>
      </c>
      <c r="V334" s="13"/>
      <c r="W334" s="6" t="n">
        <f aca="false">IF(T334="Оплачено",1,0)</f>
        <v>0</v>
      </c>
      <c r="X334" s="6" t="n">
        <f aca="false">IF(OR(T334="Не дозвонились",Y334=0),0,1)</f>
        <v>1</v>
      </c>
      <c r="Y334" s="6" t="n">
        <v>1</v>
      </c>
      <c r="Z334" s="6"/>
      <c r="AA334" s="6"/>
      <c r="AB334" s="6" t="s">
        <v>368</v>
      </c>
    </row>
    <row r="335" customFormat="false" ht="15" hidden="false" customHeight="false" outlineLevel="0" collapsed="false">
      <c r="A335" s="6" t="n">
        <v>334</v>
      </c>
      <c r="B335" s="6" t="s">
        <v>30</v>
      </c>
      <c r="C335" s="6" t="s">
        <v>1393</v>
      </c>
      <c r="D335" s="13" t="n">
        <v>46235</v>
      </c>
      <c r="E335" s="6" t="n">
        <f aca="false">MONTH(D335)</f>
        <v>8</v>
      </c>
      <c r="F335" s="6" t="s">
        <v>1330</v>
      </c>
      <c r="G335" s="6" t="s">
        <v>1394</v>
      </c>
      <c r="H335" s="6" t="s">
        <v>85</v>
      </c>
      <c r="I335" s="6" t="s">
        <v>36</v>
      </c>
      <c r="J335" s="6" t="s">
        <v>1200</v>
      </c>
      <c r="K335" s="6" t="s">
        <v>87</v>
      </c>
      <c r="L335" s="13" t="n">
        <v>46237</v>
      </c>
      <c r="M335" s="6" t="n">
        <v>1</v>
      </c>
      <c r="N335" s="13" t="n">
        <v>46237</v>
      </c>
      <c r="O335" s="6" t="n">
        <v>1</v>
      </c>
      <c r="P335" s="6" t="s">
        <v>1017</v>
      </c>
      <c r="Q335" s="8" t="n">
        <v>27400</v>
      </c>
      <c r="R335" s="6" t="s">
        <v>89</v>
      </c>
      <c r="S335" s="8" t="n">
        <f aca="false">IF(Q335="","",IF(R335="EUR",ROUND(Q335*Параметры!$B$3,0),Q335))</f>
        <v>27400</v>
      </c>
      <c r="T335" s="6" t="s">
        <v>15</v>
      </c>
      <c r="U335" s="6" t="s">
        <v>1074</v>
      </c>
      <c r="V335" s="13"/>
      <c r="W335" s="6" t="n">
        <f aca="false">IF(T335="Оплачено",1,0)</f>
        <v>1</v>
      </c>
      <c r="X335" s="6" t="n">
        <f aca="false">IF(OR(T335="Не дозвонились",Y335=0),0,1)</f>
        <v>1</v>
      </c>
      <c r="Y335" s="6" t="n">
        <v>1</v>
      </c>
      <c r="Z335" s="6"/>
      <c r="AA335" s="6" t="s">
        <v>1395</v>
      </c>
      <c r="AB335" s="6"/>
    </row>
    <row r="336" customFormat="false" ht="15" hidden="false" customHeight="false" outlineLevel="0" collapsed="false">
      <c r="A336" s="6" t="n">
        <v>335</v>
      </c>
      <c r="B336" s="6" t="s">
        <v>28</v>
      </c>
      <c r="C336" s="6" t="s">
        <v>1396</v>
      </c>
      <c r="D336" s="13" t="n">
        <v>46237</v>
      </c>
      <c r="E336" s="6" t="n">
        <f aca="false">MONTH(D336)</f>
        <v>8</v>
      </c>
      <c r="F336" s="6" t="s">
        <v>1397</v>
      </c>
      <c r="G336" s="6" t="s">
        <v>1398</v>
      </c>
      <c r="H336" s="6" t="s">
        <v>155</v>
      </c>
      <c r="I336" s="6" t="s">
        <v>34</v>
      </c>
      <c r="J336" s="6" t="s">
        <v>34</v>
      </c>
      <c r="K336" s="6" t="s">
        <v>162</v>
      </c>
      <c r="L336" s="13" t="n">
        <v>46238</v>
      </c>
      <c r="M336" s="6" t="n">
        <v>1</v>
      </c>
      <c r="N336" s="13"/>
      <c r="O336" s="6" t="n">
        <v>0</v>
      </c>
      <c r="P336" s="6"/>
      <c r="Q336" s="8"/>
      <c r="R336" s="6"/>
      <c r="S336" s="8" t="str">
        <f aca="false">IF(Q336="","",IF(R336="EUR",ROUND(Q336*Параметры!$B$3,0),Q336))</f>
        <v/>
      </c>
      <c r="T336" s="6" t="s">
        <v>71</v>
      </c>
      <c r="U336" s="6" t="s">
        <v>71</v>
      </c>
      <c r="V336" s="13"/>
      <c r="W336" s="6" t="n">
        <f aca="false">IF(T336="Оплачено",1,0)</f>
        <v>0</v>
      </c>
      <c r="X336" s="6" t="n">
        <f aca="false">IF(OR(T336="Не дозвонились",Y336=0),0,1)</f>
        <v>1</v>
      </c>
      <c r="Y336" s="6" t="n">
        <v>1</v>
      </c>
      <c r="Z336" s="6"/>
      <c r="AA336" s="6"/>
      <c r="AB336" s="6"/>
    </row>
    <row r="337" customFormat="false" ht="15" hidden="false" customHeight="false" outlineLevel="0" collapsed="false">
      <c r="A337" s="6" t="n">
        <v>336</v>
      </c>
      <c r="B337" s="6" t="s">
        <v>28</v>
      </c>
      <c r="C337" s="6" t="s">
        <v>1399</v>
      </c>
      <c r="D337" s="13" t="n">
        <v>46237</v>
      </c>
      <c r="E337" s="6" t="n">
        <f aca="false">MONTH(D337)</f>
        <v>8</v>
      </c>
      <c r="F337" s="6" t="s">
        <v>1400</v>
      </c>
      <c r="G337" s="6" t="s">
        <v>1401</v>
      </c>
      <c r="H337" s="6" t="s">
        <v>96</v>
      </c>
      <c r="I337" s="6" t="s">
        <v>35</v>
      </c>
      <c r="J337" s="6" t="s">
        <v>35</v>
      </c>
      <c r="K337" s="6" t="s">
        <v>202</v>
      </c>
      <c r="L337" s="13" t="n">
        <v>46238</v>
      </c>
      <c r="M337" s="6" t="n">
        <v>1</v>
      </c>
      <c r="N337" s="13" t="n">
        <v>46242</v>
      </c>
      <c r="O337" s="6" t="n">
        <v>1</v>
      </c>
      <c r="P337" s="6" t="s">
        <v>1402</v>
      </c>
      <c r="Q337" s="8" t="n">
        <v>34200</v>
      </c>
      <c r="R337" s="6" t="s">
        <v>89</v>
      </c>
      <c r="S337" s="8" t="n">
        <f aca="false">IF(Q337="","",IF(R337="EUR",ROUND(Q337*Параметры!$B$3,0),Q337))</f>
        <v>34200</v>
      </c>
      <c r="T337" s="6" t="s">
        <v>71</v>
      </c>
      <c r="U337" s="6" t="s">
        <v>71</v>
      </c>
      <c r="V337" s="13"/>
      <c r="W337" s="6" t="n">
        <f aca="false">IF(T337="Оплачено",1,0)</f>
        <v>0</v>
      </c>
      <c r="X337" s="6" t="n">
        <f aca="false">IF(OR(T337="Не дозвонились",Y337=0),0,1)</f>
        <v>1</v>
      </c>
      <c r="Y337" s="6" t="n">
        <v>1</v>
      </c>
      <c r="Z337" s="6"/>
      <c r="AA337" s="6"/>
      <c r="AB337" s="6" t="s">
        <v>515</v>
      </c>
    </row>
    <row r="338" customFormat="false" ht="15" hidden="false" customHeight="false" outlineLevel="0" collapsed="false">
      <c r="A338" s="6" t="n">
        <v>337</v>
      </c>
      <c r="B338" s="6" t="s">
        <v>29</v>
      </c>
      <c r="C338" s="6" t="s">
        <v>1403</v>
      </c>
      <c r="D338" s="13" t="n">
        <v>46237</v>
      </c>
      <c r="E338" s="6" t="n">
        <f aca="false">MONTH(D338)</f>
        <v>8</v>
      </c>
      <c r="F338" s="6" t="s">
        <v>1404</v>
      </c>
      <c r="G338" s="6" t="s">
        <v>1405</v>
      </c>
      <c r="H338" s="6" t="s">
        <v>696</v>
      </c>
      <c r="I338" s="6" t="s">
        <v>38</v>
      </c>
      <c r="J338" s="6" t="s">
        <v>174</v>
      </c>
      <c r="K338" s="6" t="s">
        <v>239</v>
      </c>
      <c r="L338" s="13"/>
      <c r="M338" s="6" t="n">
        <v>0</v>
      </c>
      <c r="N338" s="13"/>
      <c r="O338" s="6" t="n">
        <v>0</v>
      </c>
      <c r="P338" s="6"/>
      <c r="Q338" s="8"/>
      <c r="R338" s="6"/>
      <c r="S338" s="8" t="str">
        <f aca="false">IF(Q338="","",IF(R338="EUR",ROUND(Q338*Параметры!$B$3,0),Q338))</f>
        <v/>
      </c>
      <c r="T338" s="6" t="s">
        <v>71</v>
      </c>
      <c r="U338" s="6" t="s">
        <v>72</v>
      </c>
      <c r="V338" s="13"/>
      <c r="W338" s="6" t="n">
        <f aca="false">IF(T338="Оплачено",1,0)</f>
        <v>0</v>
      </c>
      <c r="X338" s="6" t="n">
        <f aca="false">IF(OR(T338="Не дозвонились",Y338=0),0,1)</f>
        <v>1</v>
      </c>
      <c r="Y338" s="6" t="n">
        <v>1</v>
      </c>
      <c r="Z338" s="6"/>
      <c r="AA338" s="6"/>
      <c r="AB338" s="6"/>
    </row>
    <row r="339" customFormat="false" ht="15" hidden="false" customHeight="false" outlineLevel="0" collapsed="false">
      <c r="A339" s="6" t="n">
        <v>338</v>
      </c>
      <c r="B339" s="6" t="s">
        <v>29</v>
      </c>
      <c r="C339" s="6" t="s">
        <v>1406</v>
      </c>
      <c r="D339" s="13" t="n">
        <v>46237</v>
      </c>
      <c r="E339" s="6" t="n">
        <f aca="false">MONTH(D339)</f>
        <v>8</v>
      </c>
      <c r="F339" s="6" t="s">
        <v>1407</v>
      </c>
      <c r="G339" s="6" t="s">
        <v>1408</v>
      </c>
      <c r="H339" s="6" t="s">
        <v>1365</v>
      </c>
      <c r="I339" s="6" t="s">
        <v>34</v>
      </c>
      <c r="J339" s="6" t="s">
        <v>34</v>
      </c>
      <c r="K339" s="6" t="s">
        <v>128</v>
      </c>
      <c r="L339" s="13"/>
      <c r="M339" s="6" t="n">
        <v>0</v>
      </c>
      <c r="N339" s="13"/>
      <c r="O339" s="6" t="n">
        <v>0</v>
      </c>
      <c r="P339" s="6"/>
      <c r="Q339" s="8"/>
      <c r="R339" s="6"/>
      <c r="S339" s="8" t="str">
        <f aca="false">IF(Q339="","",IF(R339="EUR",ROUND(Q339*Параметры!$B$3,0),Q339))</f>
        <v/>
      </c>
      <c r="T339" s="6" t="s">
        <v>71</v>
      </c>
      <c r="U339" s="6" t="s">
        <v>72</v>
      </c>
      <c r="V339" s="13"/>
      <c r="W339" s="6" t="n">
        <f aca="false">IF(T339="Оплачено",1,0)</f>
        <v>0</v>
      </c>
      <c r="X339" s="6" t="n">
        <f aca="false">IF(OR(T339="Не дозвонились",Y339=0),0,1)</f>
        <v>1</v>
      </c>
      <c r="Y339" s="6" t="n">
        <v>1</v>
      </c>
      <c r="Z339" s="6"/>
      <c r="AA339" s="6" t="s">
        <v>1409</v>
      </c>
      <c r="AB339" s="6" t="s">
        <v>235</v>
      </c>
    </row>
    <row r="340" customFormat="false" ht="15" hidden="false" customHeight="false" outlineLevel="0" collapsed="false">
      <c r="A340" s="6" t="n">
        <v>339</v>
      </c>
      <c r="B340" s="6" t="s">
        <v>30</v>
      </c>
      <c r="C340" s="6" t="s">
        <v>1410</v>
      </c>
      <c r="D340" s="13" t="n">
        <v>46237</v>
      </c>
      <c r="E340" s="6" t="n">
        <f aca="false">MONTH(D340)</f>
        <v>8</v>
      </c>
      <c r="F340" s="6" t="s">
        <v>1411</v>
      </c>
      <c r="G340" s="6" t="s">
        <v>1412</v>
      </c>
      <c r="H340" s="6" t="s">
        <v>147</v>
      </c>
      <c r="I340" s="6" t="s">
        <v>35</v>
      </c>
      <c r="J340" s="6" t="s">
        <v>276</v>
      </c>
      <c r="K340" s="6" t="s">
        <v>281</v>
      </c>
      <c r="L340" s="13" t="n">
        <v>46243</v>
      </c>
      <c r="M340" s="6" t="n">
        <v>1</v>
      </c>
      <c r="N340" s="13" t="n">
        <v>46244</v>
      </c>
      <c r="O340" s="6" t="n">
        <v>1</v>
      </c>
      <c r="P340" s="6" t="s">
        <v>1413</v>
      </c>
      <c r="Q340" s="8" t="n">
        <v>5100</v>
      </c>
      <c r="R340" s="6" t="s">
        <v>89</v>
      </c>
      <c r="S340" s="8" t="n">
        <f aca="false">IF(Q340="","",IF(R340="EUR",ROUND(Q340*Параметры!$B$3,0),Q340))</f>
        <v>5100</v>
      </c>
      <c r="T340" s="6" t="s">
        <v>15</v>
      </c>
      <c r="U340" s="6" t="s">
        <v>674</v>
      </c>
      <c r="V340" s="13" t="n">
        <v>46260</v>
      </c>
      <c r="W340" s="6" t="n">
        <f aca="false">IF(T340="Оплачено",1,0)</f>
        <v>1</v>
      </c>
      <c r="X340" s="6" t="n">
        <f aca="false">IF(OR(T340="Не дозвонились",Y340=0),0,1)</f>
        <v>1</v>
      </c>
      <c r="Y340" s="6" t="n">
        <v>1</v>
      </c>
      <c r="Z340" s="6"/>
      <c r="AA340" s="6" t="s">
        <v>675</v>
      </c>
      <c r="AB340" s="6" t="s">
        <v>282</v>
      </c>
    </row>
    <row r="341" customFormat="false" ht="15" hidden="false" customHeight="false" outlineLevel="0" collapsed="false">
      <c r="A341" s="6" t="n">
        <v>340</v>
      </c>
      <c r="B341" s="6" t="s">
        <v>30</v>
      </c>
      <c r="C341" s="6" t="s">
        <v>1414</v>
      </c>
      <c r="D341" s="13" t="n">
        <v>46238</v>
      </c>
      <c r="E341" s="6" t="n">
        <f aca="false">MONTH(D341)</f>
        <v>8</v>
      </c>
      <c r="F341" s="6" t="s">
        <v>1415</v>
      </c>
      <c r="G341" s="6" t="s">
        <v>1416</v>
      </c>
      <c r="H341" s="6" t="s">
        <v>1094</v>
      </c>
      <c r="I341" s="6" t="s">
        <v>35</v>
      </c>
      <c r="J341" s="6" t="s">
        <v>276</v>
      </c>
      <c r="K341" s="6" t="s">
        <v>277</v>
      </c>
      <c r="L341" s="13"/>
      <c r="M341" s="6" t="n">
        <v>0</v>
      </c>
      <c r="N341" s="13"/>
      <c r="O341" s="6" t="n">
        <v>0</v>
      </c>
      <c r="P341" s="6"/>
      <c r="Q341" s="8"/>
      <c r="R341" s="6"/>
      <c r="S341" s="8" t="str">
        <f aca="false">IF(Q341="","",IF(R341="EUR",ROUND(Q341*Параметры!$B$3,0),Q341))</f>
        <v/>
      </c>
      <c r="T341" s="6" t="s">
        <v>150</v>
      </c>
      <c r="U341" s="6" t="s">
        <v>151</v>
      </c>
      <c r="V341" s="13"/>
      <c r="W341" s="6" t="n">
        <f aca="false">IF(T341="Оплачено",1,0)</f>
        <v>0</v>
      </c>
      <c r="X341" s="6" t="n">
        <f aca="false">IF(OR(T341="Не дозвонились",Y341=0),0,1)</f>
        <v>1</v>
      </c>
      <c r="Y341" s="6" t="n">
        <v>1</v>
      </c>
      <c r="Z341" s="6"/>
      <c r="AA341" s="6"/>
      <c r="AB341" s="6" t="s">
        <v>1417</v>
      </c>
    </row>
    <row r="342" customFormat="false" ht="15" hidden="false" customHeight="false" outlineLevel="0" collapsed="false">
      <c r="A342" s="6" t="n">
        <v>341</v>
      </c>
      <c r="B342" s="6" t="s">
        <v>28</v>
      </c>
      <c r="C342" s="6" t="s">
        <v>1418</v>
      </c>
      <c r="D342" s="13" t="n">
        <v>46239</v>
      </c>
      <c r="E342" s="6" t="n">
        <f aca="false">MONTH(D342)</f>
        <v>8</v>
      </c>
      <c r="F342" s="6" t="s">
        <v>1419</v>
      </c>
      <c r="G342" s="6" t="s">
        <v>1420</v>
      </c>
      <c r="H342" s="6" t="s">
        <v>286</v>
      </c>
      <c r="I342" s="6" t="s">
        <v>38</v>
      </c>
      <c r="J342" s="6" t="s">
        <v>38</v>
      </c>
      <c r="K342" s="6" t="s">
        <v>198</v>
      </c>
      <c r="L342" s="13" t="n">
        <v>46240</v>
      </c>
      <c r="M342" s="6" t="n">
        <v>1</v>
      </c>
      <c r="N342" s="13" t="n">
        <v>46241</v>
      </c>
      <c r="O342" s="6" t="n">
        <v>1</v>
      </c>
      <c r="P342" s="6" t="s">
        <v>1421</v>
      </c>
      <c r="Q342" s="8" t="n">
        <v>24400</v>
      </c>
      <c r="R342" s="6" t="s">
        <v>89</v>
      </c>
      <c r="S342" s="8" t="n">
        <f aca="false">IF(Q342="","",IF(R342="EUR",ROUND(Q342*Параметры!$B$3,0),Q342))</f>
        <v>24400</v>
      </c>
      <c r="T342" s="6" t="s">
        <v>15</v>
      </c>
      <c r="U342" s="6" t="s">
        <v>15</v>
      </c>
      <c r="V342" s="13" t="n">
        <v>46251</v>
      </c>
      <c r="W342" s="6" t="n">
        <f aca="false">IF(T342="Оплачено",1,0)</f>
        <v>1</v>
      </c>
      <c r="X342" s="6" t="n">
        <f aca="false">IF(OR(T342="Не дозвонились",Y342=0),0,1)</f>
        <v>1</v>
      </c>
      <c r="Y342" s="6" t="n">
        <v>1</v>
      </c>
      <c r="Z342" s="6"/>
      <c r="AA342" s="6" t="s">
        <v>336</v>
      </c>
      <c r="AB342" s="6"/>
    </row>
    <row r="343" customFormat="false" ht="15" hidden="false" customHeight="false" outlineLevel="0" collapsed="false">
      <c r="A343" s="6" t="n">
        <v>342</v>
      </c>
      <c r="B343" s="6" t="s">
        <v>28</v>
      </c>
      <c r="C343" s="6" t="s">
        <v>1422</v>
      </c>
      <c r="D343" s="13" t="n">
        <v>46239</v>
      </c>
      <c r="E343" s="6" t="n">
        <f aca="false">MONTH(D343)</f>
        <v>8</v>
      </c>
      <c r="F343" s="6" t="s">
        <v>1423</v>
      </c>
      <c r="G343" s="6" t="s">
        <v>1424</v>
      </c>
      <c r="H343" s="6" t="s">
        <v>184</v>
      </c>
      <c r="I343" s="6" t="s">
        <v>36</v>
      </c>
      <c r="J343" s="6" t="s">
        <v>36</v>
      </c>
      <c r="K343" s="6" t="s">
        <v>104</v>
      </c>
      <c r="L343" s="13" t="n">
        <v>46240</v>
      </c>
      <c r="M343" s="6" t="n">
        <v>1</v>
      </c>
      <c r="N343" s="13" t="n">
        <v>46241</v>
      </c>
      <c r="O343" s="6" t="n">
        <v>1</v>
      </c>
      <c r="P343" s="6" t="s">
        <v>1425</v>
      </c>
      <c r="Q343" s="8" t="n">
        <v>5800</v>
      </c>
      <c r="R343" s="6" t="s">
        <v>89</v>
      </c>
      <c r="S343" s="8" t="n">
        <f aca="false">IF(Q343="","",IF(R343="EUR",ROUND(Q343*Параметры!$B$3,0),Q343))</f>
        <v>5800</v>
      </c>
      <c r="T343" s="6" t="s">
        <v>15</v>
      </c>
      <c r="U343" s="6" t="s">
        <v>15</v>
      </c>
      <c r="V343" s="13" t="n">
        <v>46253</v>
      </c>
      <c r="W343" s="6" t="n">
        <f aca="false">IF(T343="Оплачено",1,0)</f>
        <v>1</v>
      </c>
      <c r="X343" s="6" t="n">
        <f aca="false">IF(OR(T343="Не дозвонились",Y343=0),0,1)</f>
        <v>1</v>
      </c>
      <c r="Y343" s="6" t="n">
        <v>1</v>
      </c>
      <c r="Z343" s="6"/>
      <c r="AA343" s="6"/>
      <c r="AB343" s="6"/>
    </row>
    <row r="344" customFormat="false" ht="15" hidden="false" customHeight="false" outlineLevel="0" collapsed="false">
      <c r="A344" s="6" t="n">
        <v>343</v>
      </c>
      <c r="B344" s="6" t="s">
        <v>29</v>
      </c>
      <c r="C344" s="6" t="s">
        <v>1426</v>
      </c>
      <c r="D344" s="13" t="n">
        <v>46239</v>
      </c>
      <c r="E344" s="6" t="n">
        <f aca="false">MONTH(D344)</f>
        <v>8</v>
      </c>
      <c r="F344" s="6" t="s">
        <v>1427</v>
      </c>
      <c r="G344" s="6" t="s">
        <v>1428</v>
      </c>
      <c r="H344" s="6" t="s">
        <v>114</v>
      </c>
      <c r="I344" s="6" t="s">
        <v>34</v>
      </c>
      <c r="J344" s="6" t="s">
        <v>383</v>
      </c>
      <c r="K344" s="6" t="s">
        <v>1148</v>
      </c>
      <c r="L344" s="13"/>
      <c r="M344" s="6" t="n">
        <v>0</v>
      </c>
      <c r="N344" s="13"/>
      <c r="O344" s="6" t="n">
        <v>0</v>
      </c>
      <c r="P344" s="6"/>
      <c r="Q344" s="8"/>
      <c r="R344" s="6"/>
      <c r="S344" s="8" t="str">
        <f aca="false">IF(Q344="","",IF(R344="EUR",ROUND(Q344*Параметры!$B$3,0),Q344))</f>
        <v/>
      </c>
      <c r="T344" s="6" t="s">
        <v>71</v>
      </c>
      <c r="U344" s="6" t="s">
        <v>72</v>
      </c>
      <c r="V344" s="13"/>
      <c r="W344" s="6" t="n">
        <f aca="false">IF(T344="Оплачено",1,0)</f>
        <v>0</v>
      </c>
      <c r="X344" s="6" t="n">
        <f aca="false">IF(OR(T344="Не дозвонились",Y344=0),0,1)</f>
        <v>1</v>
      </c>
      <c r="Y344" s="6" t="n">
        <v>1</v>
      </c>
      <c r="Z344" s="6"/>
      <c r="AA344" s="6"/>
      <c r="AB344" s="6" t="s">
        <v>1057</v>
      </c>
    </row>
    <row r="345" customFormat="false" ht="15" hidden="false" customHeight="false" outlineLevel="0" collapsed="false">
      <c r="A345" s="6" t="n">
        <v>344</v>
      </c>
      <c r="B345" s="6" t="s">
        <v>30</v>
      </c>
      <c r="C345" s="6" t="s">
        <v>1429</v>
      </c>
      <c r="D345" s="13" t="n">
        <v>46239</v>
      </c>
      <c r="E345" s="6" t="n">
        <f aca="false">MONTH(D345)</f>
        <v>8</v>
      </c>
      <c r="F345" s="6" t="s">
        <v>1430</v>
      </c>
      <c r="G345" s="6" t="s">
        <v>1431</v>
      </c>
      <c r="H345" s="6" t="s">
        <v>665</v>
      </c>
      <c r="I345" s="6" t="s">
        <v>35</v>
      </c>
      <c r="J345" s="6" t="s">
        <v>148</v>
      </c>
      <c r="K345" s="6" t="s">
        <v>79</v>
      </c>
      <c r="L345" s="13" t="n">
        <v>46241</v>
      </c>
      <c r="M345" s="6" t="n">
        <v>1</v>
      </c>
      <c r="N345" s="13" t="n">
        <v>46241</v>
      </c>
      <c r="O345" s="6" t="n">
        <v>1</v>
      </c>
      <c r="P345" s="6" t="s">
        <v>1432</v>
      </c>
      <c r="Q345" s="8" t="n">
        <v>29900</v>
      </c>
      <c r="R345" s="6" t="s">
        <v>89</v>
      </c>
      <c r="S345" s="8" t="n">
        <f aca="false">IF(Q345="","",IF(R345="EUR",ROUND(Q345*Параметры!$B$3,0),Q345))</f>
        <v>29900</v>
      </c>
      <c r="T345" s="6" t="s">
        <v>15</v>
      </c>
      <c r="U345" s="6" t="s">
        <v>187</v>
      </c>
      <c r="V345" s="13" t="n">
        <v>46249</v>
      </c>
      <c r="W345" s="6" t="n">
        <f aca="false">IF(T345="Оплачено",1,0)</f>
        <v>1</v>
      </c>
      <c r="X345" s="6" t="n">
        <f aca="false">IF(OR(T345="Не дозвонились",Y345=0),0,1)</f>
        <v>1</v>
      </c>
      <c r="Y345" s="6" t="n">
        <v>1</v>
      </c>
      <c r="Z345" s="6"/>
      <c r="AA345" s="6"/>
      <c r="AB345" s="6"/>
    </row>
    <row r="346" customFormat="false" ht="15" hidden="false" customHeight="false" outlineLevel="0" collapsed="false">
      <c r="A346" s="6" t="n">
        <v>345</v>
      </c>
      <c r="B346" s="6" t="s">
        <v>30</v>
      </c>
      <c r="C346" s="6" t="s">
        <v>1433</v>
      </c>
      <c r="D346" s="13" t="n">
        <v>46239</v>
      </c>
      <c r="E346" s="6" t="n">
        <f aca="false">MONTH(D346)</f>
        <v>8</v>
      </c>
      <c r="F346" s="6" t="s">
        <v>1434</v>
      </c>
      <c r="G346" s="6" t="s">
        <v>1435</v>
      </c>
      <c r="H346" s="6" t="s">
        <v>161</v>
      </c>
      <c r="I346" s="6" t="s">
        <v>37</v>
      </c>
      <c r="J346" s="6" t="s">
        <v>185</v>
      </c>
      <c r="K346" s="6" t="s">
        <v>179</v>
      </c>
      <c r="L346" s="13" t="n">
        <v>46240</v>
      </c>
      <c r="M346" s="6" t="n">
        <v>1</v>
      </c>
      <c r="N346" s="13"/>
      <c r="O346" s="6" t="n">
        <v>0</v>
      </c>
      <c r="P346" s="6"/>
      <c r="Q346" s="8"/>
      <c r="R346" s="6"/>
      <c r="S346" s="8" t="str">
        <f aca="false">IF(Q346="","",IF(R346="EUR",ROUND(Q346*Параметры!$B$3,0),Q346))</f>
        <v/>
      </c>
      <c r="T346" s="6" t="s">
        <v>150</v>
      </c>
      <c r="U346" s="6" t="s">
        <v>151</v>
      </c>
      <c r="V346" s="13"/>
      <c r="W346" s="6" t="n">
        <f aca="false">IF(T346="Оплачено",1,0)</f>
        <v>0</v>
      </c>
      <c r="X346" s="6" t="n">
        <f aca="false">IF(OR(T346="Не дозвонились",Y346=0),0,1)</f>
        <v>1</v>
      </c>
      <c r="Y346" s="6" t="n">
        <v>1</v>
      </c>
      <c r="Z346" s="6"/>
      <c r="AA346" s="6"/>
      <c r="AB346" s="6" t="s">
        <v>414</v>
      </c>
    </row>
    <row r="347" customFormat="false" ht="15" hidden="false" customHeight="false" outlineLevel="0" collapsed="false">
      <c r="A347" s="14" t="n">
        <v>346</v>
      </c>
      <c r="B347" s="14" t="s">
        <v>30</v>
      </c>
      <c r="C347" s="14" t="s">
        <v>1436</v>
      </c>
      <c r="D347" s="15" t="n">
        <v>46239</v>
      </c>
      <c r="E347" s="14" t="n">
        <f aca="false">MONTH(D347)</f>
        <v>8</v>
      </c>
      <c r="F347" s="14" t="s">
        <v>1437</v>
      </c>
      <c r="G347" s="14" t="s">
        <v>1408</v>
      </c>
      <c r="H347" s="14" t="s">
        <v>324</v>
      </c>
      <c r="I347" s="14" t="s">
        <v>34</v>
      </c>
      <c r="J347" s="14" t="s">
        <v>214</v>
      </c>
      <c r="K347" s="14" t="s">
        <v>133</v>
      </c>
      <c r="L347" s="15"/>
      <c r="M347" s="14" t="n">
        <v>0</v>
      </c>
      <c r="N347" s="15"/>
      <c r="O347" s="14" t="n">
        <v>0</v>
      </c>
      <c r="P347" s="14"/>
      <c r="Q347" s="16"/>
      <c r="R347" s="14"/>
      <c r="S347" s="16" t="str">
        <f aca="false">IF(Q347="","",IF(R347="EUR",ROUND(Q347*Параметры!$B$3,0),Q347))</f>
        <v/>
      </c>
      <c r="T347" s="14" t="s">
        <v>427</v>
      </c>
      <c r="U347" s="14" t="s">
        <v>1438</v>
      </c>
      <c r="V347" s="15"/>
      <c r="W347" s="14" t="n">
        <f aca="false">IF(T347="Оплачено",1,0)</f>
        <v>0</v>
      </c>
      <c r="X347" s="14" t="n">
        <f aca="false">IF(OR(T347="Не дозвонились",Y347=0),0,1)</f>
        <v>0</v>
      </c>
      <c r="Y347" s="14" t="n">
        <v>0</v>
      </c>
      <c r="Z347" s="14" t="s">
        <v>1439</v>
      </c>
      <c r="AA347" s="14"/>
      <c r="AB347" s="14" t="s">
        <v>1440</v>
      </c>
    </row>
    <row r="348" customFormat="false" ht="15" hidden="false" customHeight="false" outlineLevel="0" collapsed="false">
      <c r="A348" s="6" t="n">
        <v>347</v>
      </c>
      <c r="B348" s="6" t="s">
        <v>28</v>
      </c>
      <c r="C348" s="6" t="s">
        <v>1441</v>
      </c>
      <c r="D348" s="13" t="n">
        <v>46240</v>
      </c>
      <c r="E348" s="6" t="n">
        <f aca="false">MONTH(D348)</f>
        <v>8</v>
      </c>
      <c r="F348" s="6" t="s">
        <v>1442</v>
      </c>
      <c r="G348" s="6" t="s">
        <v>1443</v>
      </c>
      <c r="H348" s="6" t="s">
        <v>197</v>
      </c>
      <c r="I348" s="6" t="s">
        <v>38</v>
      </c>
      <c r="J348" s="6" t="s">
        <v>38</v>
      </c>
      <c r="K348" s="6" t="s">
        <v>98</v>
      </c>
      <c r="L348" s="13"/>
      <c r="M348" s="6" t="n">
        <v>0</v>
      </c>
      <c r="N348" s="13"/>
      <c r="O348" s="6" t="n">
        <v>0</v>
      </c>
      <c r="P348" s="6"/>
      <c r="Q348" s="8"/>
      <c r="R348" s="6"/>
      <c r="S348" s="8" t="str">
        <f aca="false">IF(Q348="","",IF(R348="EUR",ROUND(Q348*Параметры!$B$3,0),Q348))</f>
        <v/>
      </c>
      <c r="T348" s="6" t="s">
        <v>71</v>
      </c>
      <c r="U348" s="6" t="s">
        <v>71</v>
      </c>
      <c r="V348" s="13"/>
      <c r="W348" s="6" t="n">
        <f aca="false">IF(T348="Оплачено",1,0)</f>
        <v>0</v>
      </c>
      <c r="X348" s="6" t="n">
        <f aca="false">IF(OR(T348="Не дозвонились",Y348=0),0,1)</f>
        <v>1</v>
      </c>
      <c r="Y348" s="6" t="n">
        <v>1</v>
      </c>
      <c r="Z348" s="6"/>
      <c r="AA348" s="6"/>
      <c r="AB348" s="6" t="s">
        <v>919</v>
      </c>
    </row>
    <row r="349" customFormat="false" ht="15" hidden="false" customHeight="false" outlineLevel="0" collapsed="false">
      <c r="A349" s="6" t="n">
        <v>348</v>
      </c>
      <c r="B349" s="6" t="s">
        <v>28</v>
      </c>
      <c r="C349" s="6" t="s">
        <v>1444</v>
      </c>
      <c r="D349" s="13" t="n">
        <v>46240</v>
      </c>
      <c r="E349" s="6" t="n">
        <f aca="false">MONTH(D349)</f>
        <v>8</v>
      </c>
      <c r="F349" s="6" t="s">
        <v>1445</v>
      </c>
      <c r="G349" s="6" t="s">
        <v>1446</v>
      </c>
      <c r="H349" s="6" t="s">
        <v>155</v>
      </c>
      <c r="I349" s="6" t="s">
        <v>38</v>
      </c>
      <c r="J349" s="6" t="s">
        <v>38</v>
      </c>
      <c r="K349" s="6" t="s">
        <v>198</v>
      </c>
      <c r="L349" s="13"/>
      <c r="M349" s="6" t="n">
        <v>0</v>
      </c>
      <c r="N349" s="13"/>
      <c r="O349" s="6" t="n">
        <v>0</v>
      </c>
      <c r="P349" s="6"/>
      <c r="Q349" s="8"/>
      <c r="R349" s="6"/>
      <c r="S349" s="8" t="str">
        <f aca="false">IF(Q349="","",IF(R349="EUR",ROUND(Q349*Параметры!$B$3,0),Q349))</f>
        <v/>
      </c>
      <c r="T349" s="6" t="s">
        <v>80</v>
      </c>
      <c r="U349" s="6" t="s">
        <v>163</v>
      </c>
      <c r="V349" s="13"/>
      <c r="W349" s="6" t="n">
        <f aca="false">IF(T349="Оплачено",1,0)</f>
        <v>0</v>
      </c>
      <c r="X349" s="6" t="n">
        <f aca="false">IF(OR(T349="Не дозвонились",Y349=0),0,1)</f>
        <v>0</v>
      </c>
      <c r="Y349" s="6" t="n">
        <v>1</v>
      </c>
      <c r="Z349" s="6"/>
      <c r="AA349" s="6"/>
      <c r="AB349" s="6"/>
    </row>
    <row r="350" customFormat="false" ht="15" hidden="false" customHeight="false" outlineLevel="0" collapsed="false">
      <c r="A350" s="6" t="n">
        <v>349</v>
      </c>
      <c r="B350" s="6" t="s">
        <v>29</v>
      </c>
      <c r="C350" s="6" t="s">
        <v>1447</v>
      </c>
      <c r="D350" s="13" t="n">
        <v>46240</v>
      </c>
      <c r="E350" s="6" t="n">
        <f aca="false">MONTH(D350)</f>
        <v>8</v>
      </c>
      <c r="F350" s="6" t="s">
        <v>1448</v>
      </c>
      <c r="G350" s="6" t="s">
        <v>1449</v>
      </c>
      <c r="H350" s="6" t="s">
        <v>266</v>
      </c>
      <c r="I350" s="6" t="s">
        <v>34</v>
      </c>
      <c r="J350" s="6" t="s">
        <v>383</v>
      </c>
      <c r="K350" s="6" t="s">
        <v>239</v>
      </c>
      <c r="L350" s="13"/>
      <c r="M350" s="6" t="n">
        <v>0</v>
      </c>
      <c r="N350" s="13"/>
      <c r="O350" s="6" t="n">
        <v>0</v>
      </c>
      <c r="P350" s="6"/>
      <c r="Q350" s="8"/>
      <c r="R350" s="6"/>
      <c r="S350" s="8" t="str">
        <f aca="false">IF(Q350="","",IF(R350="EUR",ROUND(Q350*Параметры!$B$3,0),Q350))</f>
        <v/>
      </c>
      <c r="T350" s="6" t="s">
        <v>71</v>
      </c>
      <c r="U350" s="6" t="s">
        <v>72</v>
      </c>
      <c r="V350" s="13"/>
      <c r="W350" s="6" t="n">
        <f aca="false">IF(T350="Оплачено",1,0)</f>
        <v>0</v>
      </c>
      <c r="X350" s="6" t="n">
        <f aca="false">IF(OR(T350="Не дозвонились",Y350=0),0,1)</f>
        <v>1</v>
      </c>
      <c r="Y350" s="6" t="n">
        <v>1</v>
      </c>
      <c r="Z350" s="6"/>
      <c r="AA350" s="6"/>
      <c r="AB350" s="6"/>
    </row>
    <row r="351" customFormat="false" ht="15" hidden="false" customHeight="false" outlineLevel="0" collapsed="false">
      <c r="A351" s="6" t="n">
        <v>350</v>
      </c>
      <c r="B351" s="6" t="s">
        <v>29</v>
      </c>
      <c r="C351" s="6" t="s">
        <v>1450</v>
      </c>
      <c r="D351" s="13" t="n">
        <v>46240</v>
      </c>
      <c r="E351" s="6" t="n">
        <f aca="false">MONTH(D351)</f>
        <v>8</v>
      </c>
      <c r="F351" s="6" t="s">
        <v>1451</v>
      </c>
      <c r="G351" s="6" t="s">
        <v>1452</v>
      </c>
      <c r="H351" s="6" t="s">
        <v>266</v>
      </c>
      <c r="I351" s="6" t="s">
        <v>34</v>
      </c>
      <c r="J351" s="6" t="s">
        <v>34</v>
      </c>
      <c r="K351" s="6" t="s">
        <v>344</v>
      </c>
      <c r="L351" s="13"/>
      <c r="M351" s="6" t="n">
        <v>0</v>
      </c>
      <c r="N351" s="13"/>
      <c r="O351" s="6" t="n">
        <v>0</v>
      </c>
      <c r="P351" s="6"/>
      <c r="Q351" s="8"/>
      <c r="R351" s="6"/>
      <c r="S351" s="8" t="str">
        <f aca="false">IF(Q351="","",IF(R351="EUR",ROUND(Q351*Параметры!$B$3,0),Q351))</f>
        <v/>
      </c>
      <c r="T351" s="6" t="s">
        <v>71</v>
      </c>
      <c r="U351" s="6" t="s">
        <v>301</v>
      </c>
      <c r="V351" s="13"/>
      <c r="W351" s="6" t="n">
        <f aca="false">IF(T351="Оплачено",1,0)</f>
        <v>0</v>
      </c>
      <c r="X351" s="6" t="n">
        <f aca="false">IF(OR(T351="Не дозвонились",Y351=0),0,1)</f>
        <v>1</v>
      </c>
      <c r="Y351" s="6" t="n">
        <v>1</v>
      </c>
      <c r="Z351" s="6"/>
      <c r="AA351" s="6"/>
      <c r="AB351" s="6"/>
    </row>
    <row r="352" customFormat="false" ht="15" hidden="false" customHeight="false" outlineLevel="0" collapsed="false">
      <c r="A352" s="6" t="n">
        <v>351</v>
      </c>
      <c r="B352" s="6" t="s">
        <v>29</v>
      </c>
      <c r="C352" s="6" t="s">
        <v>1453</v>
      </c>
      <c r="D352" s="13" t="n">
        <v>46240</v>
      </c>
      <c r="E352" s="6" t="n">
        <f aca="false">MONTH(D352)</f>
        <v>8</v>
      </c>
      <c r="F352" s="6" t="s">
        <v>1454</v>
      </c>
      <c r="G352" s="6" t="s">
        <v>1455</v>
      </c>
      <c r="H352" s="6" t="s">
        <v>1365</v>
      </c>
      <c r="I352" s="6" t="s">
        <v>34</v>
      </c>
      <c r="J352" s="6" t="s">
        <v>383</v>
      </c>
      <c r="K352" s="6" t="s">
        <v>143</v>
      </c>
      <c r="L352" s="13"/>
      <c r="M352" s="6" t="n">
        <v>0</v>
      </c>
      <c r="N352" s="13"/>
      <c r="O352" s="6" t="n">
        <v>0</v>
      </c>
      <c r="P352" s="6"/>
      <c r="Q352" s="8"/>
      <c r="R352" s="6"/>
      <c r="S352" s="8" t="str">
        <f aca="false">IF(Q352="","",IF(R352="EUR",ROUND(Q352*Параметры!$B$3,0),Q352))</f>
        <v/>
      </c>
      <c r="T352" s="6" t="s">
        <v>71</v>
      </c>
      <c r="U352" s="6" t="s">
        <v>301</v>
      </c>
      <c r="V352" s="13"/>
      <c r="W352" s="6" t="n">
        <f aca="false">IF(T352="Оплачено",1,0)</f>
        <v>0</v>
      </c>
      <c r="X352" s="6" t="n">
        <f aca="false">IF(OR(T352="Не дозвонились",Y352=0),0,1)</f>
        <v>1</v>
      </c>
      <c r="Y352" s="6" t="n">
        <v>1</v>
      </c>
      <c r="Z352" s="6"/>
      <c r="AA352" s="6"/>
      <c r="AB352" s="6" t="s">
        <v>235</v>
      </c>
    </row>
    <row r="353" customFormat="false" ht="15" hidden="false" customHeight="false" outlineLevel="0" collapsed="false">
      <c r="A353" s="6" t="n">
        <v>352</v>
      </c>
      <c r="B353" s="6" t="s">
        <v>29</v>
      </c>
      <c r="C353" s="6" t="s">
        <v>1456</v>
      </c>
      <c r="D353" s="13" t="n">
        <v>46240</v>
      </c>
      <c r="E353" s="6" t="n">
        <f aca="false">MONTH(D353)</f>
        <v>8</v>
      </c>
      <c r="F353" s="6" t="s">
        <v>1457</v>
      </c>
      <c r="G353" s="6" t="s">
        <v>1458</v>
      </c>
      <c r="H353" s="6" t="s">
        <v>294</v>
      </c>
      <c r="I353" s="6" t="s">
        <v>34</v>
      </c>
      <c r="J353" s="6" t="s">
        <v>167</v>
      </c>
      <c r="K353" s="6" t="s">
        <v>175</v>
      </c>
      <c r="L353" s="13"/>
      <c r="M353" s="6" t="n">
        <v>0</v>
      </c>
      <c r="N353" s="13"/>
      <c r="O353" s="6" t="n">
        <v>0</v>
      </c>
      <c r="P353" s="6"/>
      <c r="Q353" s="8"/>
      <c r="R353" s="6"/>
      <c r="S353" s="8" t="str">
        <f aca="false">IF(Q353="","",IF(R353="EUR",ROUND(Q353*Параметры!$B$3,0),Q353))</f>
        <v/>
      </c>
      <c r="T353" s="6" t="s">
        <v>80</v>
      </c>
      <c r="U353" s="6" t="s">
        <v>117</v>
      </c>
      <c r="V353" s="13"/>
      <c r="W353" s="6" t="n">
        <f aca="false">IF(T353="Оплачено",1,0)</f>
        <v>0</v>
      </c>
      <c r="X353" s="6" t="n">
        <f aca="false">IF(OR(T353="Не дозвонились",Y353=0),0,1)</f>
        <v>0</v>
      </c>
      <c r="Y353" s="6" t="n">
        <v>1</v>
      </c>
      <c r="Z353" s="6"/>
      <c r="AA353" s="6"/>
      <c r="AB353" s="6"/>
    </row>
    <row r="354" customFormat="false" ht="15" hidden="false" customHeight="false" outlineLevel="0" collapsed="false">
      <c r="A354" s="6" t="n">
        <v>353</v>
      </c>
      <c r="B354" s="6" t="s">
        <v>30</v>
      </c>
      <c r="C354" s="6" t="s">
        <v>1459</v>
      </c>
      <c r="D354" s="13" t="n">
        <v>46240</v>
      </c>
      <c r="E354" s="6" t="n">
        <f aca="false">MONTH(D354)</f>
        <v>8</v>
      </c>
      <c r="F354" s="6" t="s">
        <v>1460</v>
      </c>
      <c r="G354" s="6" t="s">
        <v>1461</v>
      </c>
      <c r="H354" s="6" t="s">
        <v>1094</v>
      </c>
      <c r="I354" s="6" t="s">
        <v>38</v>
      </c>
      <c r="J354" s="6" t="s">
        <v>219</v>
      </c>
      <c r="K354" s="6" t="s">
        <v>149</v>
      </c>
      <c r="L354" s="13"/>
      <c r="M354" s="6" t="n">
        <v>0</v>
      </c>
      <c r="N354" s="13"/>
      <c r="O354" s="6" t="n">
        <v>0</v>
      </c>
      <c r="P354" s="6"/>
      <c r="Q354" s="8"/>
      <c r="R354" s="6"/>
      <c r="S354" s="8" t="str">
        <f aca="false">IF(Q354="","",IF(R354="EUR",ROUND(Q354*Параметры!$B$3,0),Q354))</f>
        <v/>
      </c>
      <c r="T354" s="6" t="s">
        <v>71</v>
      </c>
      <c r="U354" s="6" t="s">
        <v>225</v>
      </c>
      <c r="V354" s="13"/>
      <c r="W354" s="6" t="n">
        <f aca="false">IF(T354="Оплачено",1,0)</f>
        <v>0</v>
      </c>
      <c r="X354" s="6" t="n">
        <f aca="false">IF(OR(T354="Не дозвонились",Y354=0),0,1)</f>
        <v>1</v>
      </c>
      <c r="Y354" s="6" t="n">
        <v>1</v>
      </c>
      <c r="Z354" s="6"/>
      <c r="AA354" s="6"/>
      <c r="AB354" s="6" t="s">
        <v>209</v>
      </c>
    </row>
    <row r="355" customFormat="false" ht="15" hidden="false" customHeight="false" outlineLevel="0" collapsed="false">
      <c r="A355" s="6" t="n">
        <v>354</v>
      </c>
      <c r="B355" s="6" t="s">
        <v>30</v>
      </c>
      <c r="C355" s="6" t="s">
        <v>1462</v>
      </c>
      <c r="D355" s="13" t="n">
        <v>46240</v>
      </c>
      <c r="E355" s="6" t="n">
        <f aca="false">MONTH(D355)</f>
        <v>8</v>
      </c>
      <c r="F355" s="6" t="s">
        <v>1463</v>
      </c>
      <c r="G355" s="6" t="s">
        <v>1464</v>
      </c>
      <c r="H355" s="6" t="s">
        <v>184</v>
      </c>
      <c r="I355" s="6" t="s">
        <v>35</v>
      </c>
      <c r="J355" s="6" t="s">
        <v>276</v>
      </c>
      <c r="K355" s="6" t="s">
        <v>79</v>
      </c>
      <c r="L355" s="13" t="n">
        <v>46244</v>
      </c>
      <c r="M355" s="6" t="n">
        <v>1</v>
      </c>
      <c r="N355" s="13" t="n">
        <v>46251</v>
      </c>
      <c r="O355" s="6" t="n">
        <v>1</v>
      </c>
      <c r="P355" s="6" t="s">
        <v>1465</v>
      </c>
      <c r="Q355" s="8" t="n">
        <v>34000</v>
      </c>
      <c r="R355" s="6" t="s">
        <v>89</v>
      </c>
      <c r="S355" s="8" t="n">
        <f aca="false">IF(Q355="","",IF(R355="EUR",ROUND(Q355*Параметры!$B$3,0),Q355))</f>
        <v>34000</v>
      </c>
      <c r="T355" s="6" t="s">
        <v>15</v>
      </c>
      <c r="U355" s="6" t="s">
        <v>187</v>
      </c>
      <c r="V355" s="13" t="n">
        <v>46261</v>
      </c>
      <c r="W355" s="6" t="n">
        <f aca="false">IF(T355="Оплачено",1,0)</f>
        <v>1</v>
      </c>
      <c r="X355" s="6" t="n">
        <f aca="false">IF(OR(T355="Не дозвонились",Y355=0),0,1)</f>
        <v>1</v>
      </c>
      <c r="Y355" s="6" t="n">
        <v>1</v>
      </c>
      <c r="Z355" s="6"/>
      <c r="AA355" s="6" t="s">
        <v>1466</v>
      </c>
      <c r="AB355" s="6"/>
    </row>
    <row r="356" customFormat="false" ht="15" hidden="false" customHeight="false" outlineLevel="0" collapsed="false">
      <c r="A356" s="6" t="n">
        <v>355</v>
      </c>
      <c r="B356" s="6" t="s">
        <v>30</v>
      </c>
      <c r="C356" s="6" t="s">
        <v>1467</v>
      </c>
      <c r="D356" s="13" t="n">
        <v>46240</v>
      </c>
      <c r="E356" s="6" t="n">
        <f aca="false">MONTH(D356)</f>
        <v>8</v>
      </c>
      <c r="F356" s="6" t="s">
        <v>1468</v>
      </c>
      <c r="G356" s="6" t="s">
        <v>1469</v>
      </c>
      <c r="H356" s="6" t="s">
        <v>243</v>
      </c>
      <c r="I356" s="6" t="s">
        <v>35</v>
      </c>
      <c r="J356" s="6" t="s">
        <v>142</v>
      </c>
      <c r="K356" s="6" t="s">
        <v>179</v>
      </c>
      <c r="L356" s="13"/>
      <c r="M356" s="6" t="n">
        <v>0</v>
      </c>
      <c r="N356" s="13"/>
      <c r="O356" s="6" t="n">
        <v>0</v>
      </c>
      <c r="P356" s="6"/>
      <c r="Q356" s="8"/>
      <c r="R356" s="6"/>
      <c r="S356" s="8" t="str">
        <f aca="false">IF(Q356="","",IF(R356="EUR",ROUND(Q356*Параметры!$B$3,0),Q356))</f>
        <v/>
      </c>
      <c r="T356" s="6" t="s">
        <v>150</v>
      </c>
      <c r="U356" s="6" t="s">
        <v>151</v>
      </c>
      <c r="V356" s="13"/>
      <c r="W356" s="6" t="n">
        <f aca="false">IF(T356="Оплачено",1,0)</f>
        <v>0</v>
      </c>
      <c r="X356" s="6" t="n">
        <f aca="false">IF(OR(T356="Не дозвонились",Y356=0),0,1)</f>
        <v>1</v>
      </c>
      <c r="Y356" s="6" t="n">
        <v>1</v>
      </c>
      <c r="Z356" s="6"/>
      <c r="AA356" s="6"/>
      <c r="AB356" s="6" t="s">
        <v>780</v>
      </c>
    </row>
    <row r="357" customFormat="false" ht="15" hidden="false" customHeight="false" outlineLevel="0" collapsed="false">
      <c r="A357" s="6" t="n">
        <v>356</v>
      </c>
      <c r="B357" s="6" t="s">
        <v>28</v>
      </c>
      <c r="C357" s="6" t="s">
        <v>1470</v>
      </c>
      <c r="D357" s="13" t="n">
        <v>46241</v>
      </c>
      <c r="E357" s="6" t="n">
        <f aca="false">MONTH(D357)</f>
        <v>8</v>
      </c>
      <c r="F357" s="6" t="s">
        <v>1471</v>
      </c>
      <c r="G357" s="6" t="s">
        <v>1472</v>
      </c>
      <c r="H357" s="6" t="s">
        <v>184</v>
      </c>
      <c r="I357" s="6" t="s">
        <v>34</v>
      </c>
      <c r="J357" s="6" t="s">
        <v>34</v>
      </c>
      <c r="K357" s="6" t="s">
        <v>234</v>
      </c>
      <c r="L357" s="13"/>
      <c r="M357" s="6" t="n">
        <v>0</v>
      </c>
      <c r="N357" s="13"/>
      <c r="O357" s="6" t="n">
        <v>0</v>
      </c>
      <c r="P357" s="6"/>
      <c r="Q357" s="8"/>
      <c r="R357" s="6"/>
      <c r="S357" s="8" t="str">
        <f aca="false">IF(Q357="","",IF(R357="EUR",ROUND(Q357*Параметры!$B$3,0),Q357))</f>
        <v/>
      </c>
      <c r="T357" s="6" t="s">
        <v>80</v>
      </c>
      <c r="U357" s="6" t="s">
        <v>163</v>
      </c>
      <c r="V357" s="13"/>
      <c r="W357" s="6" t="n">
        <f aca="false">IF(T357="Оплачено",1,0)</f>
        <v>0</v>
      </c>
      <c r="X357" s="6" t="n">
        <f aca="false">IF(OR(T357="Не дозвонились",Y357=0),0,1)</f>
        <v>0</v>
      </c>
      <c r="Y357" s="6" t="n">
        <v>1</v>
      </c>
      <c r="Z357" s="6"/>
      <c r="AA357" s="6"/>
      <c r="AB357" s="6"/>
    </row>
    <row r="358" customFormat="false" ht="15" hidden="false" customHeight="false" outlineLevel="0" collapsed="false">
      <c r="A358" s="6" t="n">
        <v>357</v>
      </c>
      <c r="B358" s="6" t="s">
        <v>28</v>
      </c>
      <c r="C358" s="6" t="s">
        <v>1473</v>
      </c>
      <c r="D358" s="13" t="n">
        <v>46241</v>
      </c>
      <c r="E358" s="6" t="n">
        <f aca="false">MONTH(D358)</f>
        <v>8</v>
      </c>
      <c r="F358" s="6" t="s">
        <v>1474</v>
      </c>
      <c r="G358" s="6" t="s">
        <v>1475</v>
      </c>
      <c r="H358" s="6" t="s">
        <v>191</v>
      </c>
      <c r="I358" s="6" t="s">
        <v>35</v>
      </c>
      <c r="J358" s="6" t="s">
        <v>35</v>
      </c>
      <c r="K358" s="6" t="s">
        <v>287</v>
      </c>
      <c r="L358" s="13" t="n">
        <v>46242</v>
      </c>
      <c r="M358" s="6" t="n">
        <v>1</v>
      </c>
      <c r="N358" s="13" t="n">
        <v>46243</v>
      </c>
      <c r="O358" s="6" t="n">
        <v>1</v>
      </c>
      <c r="P358" s="6" t="s">
        <v>1476</v>
      </c>
      <c r="Q358" s="8" t="n">
        <v>17000</v>
      </c>
      <c r="R358" s="6" t="s">
        <v>89</v>
      </c>
      <c r="S358" s="8" t="n">
        <f aca="false">IF(Q358="","",IF(R358="EUR",ROUND(Q358*Параметры!$B$3,0),Q358))</f>
        <v>17000</v>
      </c>
      <c r="T358" s="6" t="s">
        <v>71</v>
      </c>
      <c r="U358" s="6" t="s">
        <v>71</v>
      </c>
      <c r="V358" s="13"/>
      <c r="W358" s="6" t="n">
        <f aca="false">IF(T358="Оплачено",1,0)</f>
        <v>0</v>
      </c>
      <c r="X358" s="6" t="n">
        <f aca="false">IF(OR(T358="Не дозвонились",Y358=0),0,1)</f>
        <v>1</v>
      </c>
      <c r="Y358" s="6" t="n">
        <v>1</v>
      </c>
      <c r="Z358" s="6"/>
      <c r="AA358" s="6"/>
      <c r="AB358" s="6" t="s">
        <v>235</v>
      </c>
    </row>
    <row r="359" customFormat="false" ht="15" hidden="false" customHeight="false" outlineLevel="0" collapsed="false">
      <c r="A359" s="6" t="n">
        <v>358</v>
      </c>
      <c r="B359" s="6" t="s">
        <v>30</v>
      </c>
      <c r="C359" s="6" t="s">
        <v>1477</v>
      </c>
      <c r="D359" s="13" t="n">
        <v>46241</v>
      </c>
      <c r="E359" s="6" t="n">
        <f aca="false">MONTH(D359)</f>
        <v>8</v>
      </c>
      <c r="F359" s="6" t="s">
        <v>1478</v>
      </c>
      <c r="G359" s="6" t="s">
        <v>1479</v>
      </c>
      <c r="H359" s="6" t="s">
        <v>147</v>
      </c>
      <c r="I359" s="6" t="s">
        <v>35</v>
      </c>
      <c r="J359" s="6" t="s">
        <v>148</v>
      </c>
      <c r="K359" s="6" t="s">
        <v>881</v>
      </c>
      <c r="L359" s="13"/>
      <c r="M359" s="6" t="n">
        <v>1</v>
      </c>
      <c r="N359" s="13" t="n">
        <v>46247</v>
      </c>
      <c r="O359" s="6" t="n">
        <v>1</v>
      </c>
      <c r="P359" s="6" t="s">
        <v>1480</v>
      </c>
      <c r="Q359" s="8" t="n">
        <v>47500</v>
      </c>
      <c r="R359" s="6" t="s">
        <v>89</v>
      </c>
      <c r="S359" s="8" t="n">
        <f aca="false">IF(Q359="","",IF(R359="EUR",ROUND(Q359*Параметры!$B$3,0),Q359))</f>
        <v>47500</v>
      </c>
      <c r="T359" s="6" t="s">
        <v>15</v>
      </c>
      <c r="U359" s="6" t="s">
        <v>187</v>
      </c>
      <c r="V359" s="13" t="n">
        <v>46258</v>
      </c>
      <c r="W359" s="6" t="n">
        <f aca="false">IF(T359="Оплачено",1,0)</f>
        <v>1</v>
      </c>
      <c r="X359" s="6" t="n">
        <f aca="false">IF(OR(T359="Не дозвонились",Y359=0),0,1)</f>
        <v>1</v>
      </c>
      <c r="Y359" s="6" t="n">
        <v>1</v>
      </c>
      <c r="Z359" s="6"/>
      <c r="AA359" s="6"/>
      <c r="AB359" s="6" t="s">
        <v>519</v>
      </c>
    </row>
    <row r="360" customFormat="false" ht="15" hidden="false" customHeight="false" outlineLevel="0" collapsed="false">
      <c r="A360" s="6" t="n">
        <v>359</v>
      </c>
      <c r="B360" s="6" t="s">
        <v>29</v>
      </c>
      <c r="C360" s="6" t="s">
        <v>1481</v>
      </c>
      <c r="D360" s="13" t="n">
        <v>46242</v>
      </c>
      <c r="E360" s="6" t="n">
        <f aca="false">MONTH(D360)</f>
        <v>8</v>
      </c>
      <c r="F360" s="6" t="s">
        <v>1482</v>
      </c>
      <c r="G360" s="6" t="s">
        <v>1483</v>
      </c>
      <c r="H360" s="6" t="s">
        <v>96</v>
      </c>
      <c r="I360" s="6" t="s">
        <v>35</v>
      </c>
      <c r="J360" s="6" t="s">
        <v>142</v>
      </c>
      <c r="K360" s="6" t="s">
        <v>143</v>
      </c>
      <c r="L360" s="13"/>
      <c r="M360" s="6" t="n">
        <v>0</v>
      </c>
      <c r="N360" s="13"/>
      <c r="O360" s="6" t="n">
        <v>0</v>
      </c>
      <c r="P360" s="6"/>
      <c r="Q360" s="8"/>
      <c r="R360" s="6"/>
      <c r="S360" s="8" t="str">
        <f aca="false">IF(Q360="","",IF(R360="EUR",ROUND(Q360*Параметры!$B$3,0),Q360))</f>
        <v/>
      </c>
      <c r="T360" s="6" t="s">
        <v>71</v>
      </c>
      <c r="U360" s="6" t="s">
        <v>301</v>
      </c>
      <c r="V360" s="13"/>
      <c r="W360" s="6" t="n">
        <f aca="false">IF(T360="Оплачено",1,0)</f>
        <v>0</v>
      </c>
      <c r="X360" s="6" t="n">
        <f aca="false">IF(OR(T360="Не дозвонились",Y360=0),0,1)</f>
        <v>1</v>
      </c>
      <c r="Y360" s="6" t="n">
        <v>1</v>
      </c>
      <c r="Z360" s="6"/>
      <c r="AA360" s="6"/>
      <c r="AB360" s="6" t="s">
        <v>1484</v>
      </c>
    </row>
    <row r="361" customFormat="false" ht="15" hidden="false" customHeight="false" outlineLevel="0" collapsed="false">
      <c r="A361" s="6" t="n">
        <v>360</v>
      </c>
      <c r="B361" s="6" t="s">
        <v>29</v>
      </c>
      <c r="C361" s="6" t="s">
        <v>1485</v>
      </c>
      <c r="D361" s="13" t="n">
        <v>46242</v>
      </c>
      <c r="E361" s="6" t="n">
        <f aca="false">MONTH(D361)</f>
        <v>8</v>
      </c>
      <c r="F361" s="6" t="s">
        <v>1486</v>
      </c>
      <c r="G361" s="6" t="s">
        <v>1487</v>
      </c>
      <c r="H361" s="6" t="s">
        <v>121</v>
      </c>
      <c r="I361" s="6" t="s">
        <v>35</v>
      </c>
      <c r="J361" s="6" t="s">
        <v>35</v>
      </c>
      <c r="K361" s="6" t="s">
        <v>70</v>
      </c>
      <c r="L361" s="13" t="n">
        <v>46244</v>
      </c>
      <c r="M361" s="6" t="n">
        <v>1</v>
      </c>
      <c r="N361" s="13" t="n">
        <v>46245</v>
      </c>
      <c r="O361" s="6" t="n">
        <v>1</v>
      </c>
      <c r="P361" s="6" t="s">
        <v>1488</v>
      </c>
      <c r="Q361" s="8" t="n">
        <v>6700</v>
      </c>
      <c r="R361" s="6" t="s">
        <v>89</v>
      </c>
      <c r="S361" s="8" t="n">
        <f aca="false">IF(Q361="","",IF(R361="EUR",ROUND(Q361*Параметры!$B$3,0),Q361))</f>
        <v>6700</v>
      </c>
      <c r="T361" s="6" t="s">
        <v>15</v>
      </c>
      <c r="U361" s="6" t="s">
        <v>621</v>
      </c>
      <c r="V361" s="13" t="n">
        <v>46254</v>
      </c>
      <c r="W361" s="6" t="n">
        <f aca="false">IF(T361="Оплачено",1,0)</f>
        <v>1</v>
      </c>
      <c r="X361" s="6" t="n">
        <f aca="false">IF(OR(T361="Не дозвонились",Y361=0),0,1)</f>
        <v>1</v>
      </c>
      <c r="Y361" s="6" t="n">
        <v>1</v>
      </c>
      <c r="Z361" s="6"/>
      <c r="AA361" s="6" t="s">
        <v>1489</v>
      </c>
      <c r="AB361" s="6"/>
    </row>
    <row r="362" customFormat="false" ht="15" hidden="false" customHeight="false" outlineLevel="0" collapsed="false">
      <c r="A362" s="6" t="n">
        <v>361</v>
      </c>
      <c r="B362" s="6" t="s">
        <v>29</v>
      </c>
      <c r="C362" s="6" t="s">
        <v>1490</v>
      </c>
      <c r="D362" s="13" t="n">
        <v>46242</v>
      </c>
      <c r="E362" s="6" t="n">
        <f aca="false">MONTH(D362)</f>
        <v>8</v>
      </c>
      <c r="F362" s="6" t="s">
        <v>1491</v>
      </c>
      <c r="G362" s="6" t="s">
        <v>1492</v>
      </c>
      <c r="H362" s="6" t="s">
        <v>121</v>
      </c>
      <c r="I362" s="6" t="s">
        <v>38</v>
      </c>
      <c r="J362" s="6" t="s">
        <v>174</v>
      </c>
      <c r="K362" s="6" t="s">
        <v>143</v>
      </c>
      <c r="L362" s="13" t="n">
        <v>46247</v>
      </c>
      <c r="M362" s="6" t="n">
        <v>1</v>
      </c>
      <c r="N362" s="13" t="n">
        <v>46253</v>
      </c>
      <c r="O362" s="6" t="n">
        <v>1</v>
      </c>
      <c r="P362" s="6" t="s">
        <v>1493</v>
      </c>
      <c r="Q362" s="8" t="n">
        <v>36200</v>
      </c>
      <c r="R362" s="6" t="s">
        <v>89</v>
      </c>
      <c r="S362" s="8" t="n">
        <f aca="false">IF(Q362="","",IF(R362="EUR",ROUND(Q362*Параметры!$B$3,0),Q362))</f>
        <v>36200</v>
      </c>
      <c r="T362" s="6" t="s">
        <v>71</v>
      </c>
      <c r="U362" s="6" t="s">
        <v>301</v>
      </c>
      <c r="V362" s="13"/>
      <c r="W362" s="6" t="n">
        <f aca="false">IF(T362="Оплачено",1,0)</f>
        <v>0</v>
      </c>
      <c r="X362" s="6" t="n">
        <f aca="false">IF(OR(T362="Не дозвонились",Y362=0),0,1)</f>
        <v>1</v>
      </c>
      <c r="Y362" s="6" t="n">
        <v>1</v>
      </c>
      <c r="Z362" s="6"/>
      <c r="AA362" s="6"/>
      <c r="AB362" s="6" t="s">
        <v>356</v>
      </c>
    </row>
    <row r="363" customFormat="false" ht="15" hidden="false" customHeight="false" outlineLevel="0" collapsed="false">
      <c r="A363" s="14" t="n">
        <v>362</v>
      </c>
      <c r="B363" s="14" t="s">
        <v>29</v>
      </c>
      <c r="C363" s="14" t="s">
        <v>1494</v>
      </c>
      <c r="D363" s="15" t="n">
        <v>46242</v>
      </c>
      <c r="E363" s="14" t="n">
        <f aca="false">MONTH(D363)</f>
        <v>8</v>
      </c>
      <c r="F363" s="14" t="s">
        <v>1486</v>
      </c>
      <c r="G363" s="14" t="s">
        <v>1487</v>
      </c>
      <c r="H363" s="14" t="s">
        <v>121</v>
      </c>
      <c r="I363" s="14" t="s">
        <v>35</v>
      </c>
      <c r="J363" s="14" t="s">
        <v>35</v>
      </c>
      <c r="K363" s="14" t="s">
        <v>70</v>
      </c>
      <c r="L363" s="15" t="n">
        <v>46244</v>
      </c>
      <c r="M363" s="14" t="n">
        <v>1</v>
      </c>
      <c r="N363" s="15" t="n">
        <v>46245</v>
      </c>
      <c r="O363" s="14" t="n">
        <v>1</v>
      </c>
      <c r="P363" s="14" t="s">
        <v>1488</v>
      </c>
      <c r="Q363" s="16" t="n">
        <v>6700</v>
      </c>
      <c r="R363" s="14" t="s">
        <v>89</v>
      </c>
      <c r="S363" s="16" t="n">
        <f aca="false">IF(Q363="","",IF(R363="EUR",ROUND(Q363*Параметры!$B$3,0),Q363))</f>
        <v>6700</v>
      </c>
      <c r="T363" s="14" t="s">
        <v>15</v>
      </c>
      <c r="U363" s="14" t="s">
        <v>621</v>
      </c>
      <c r="V363" s="15" t="n">
        <v>46254</v>
      </c>
      <c r="W363" s="14" t="n">
        <f aca="false">IF(T363="Оплачено",1,0)</f>
        <v>1</v>
      </c>
      <c r="X363" s="14" t="n">
        <f aca="false">IF(OR(T363="Не дозвонились",Y363=0),0,1)</f>
        <v>0</v>
      </c>
      <c r="Y363" s="14" t="n">
        <v>0</v>
      </c>
      <c r="Z363" s="14" t="s">
        <v>1495</v>
      </c>
      <c r="AA363" s="14"/>
      <c r="AB363" s="14"/>
    </row>
    <row r="364" customFormat="false" ht="15" hidden="false" customHeight="false" outlineLevel="0" collapsed="false">
      <c r="A364" s="6" t="n">
        <v>363</v>
      </c>
      <c r="B364" s="6" t="s">
        <v>30</v>
      </c>
      <c r="C364" s="6" t="s">
        <v>1496</v>
      </c>
      <c r="D364" s="13" t="n">
        <v>46242</v>
      </c>
      <c r="E364" s="6" t="n">
        <f aca="false">MONTH(D364)</f>
        <v>8</v>
      </c>
      <c r="F364" s="6" t="s">
        <v>1497</v>
      </c>
      <c r="G364" s="6" t="s">
        <v>1498</v>
      </c>
      <c r="H364" s="6" t="s">
        <v>161</v>
      </c>
      <c r="I364" s="6" t="s">
        <v>37</v>
      </c>
      <c r="J364" s="6" t="s">
        <v>86</v>
      </c>
      <c r="K364" s="6" t="s">
        <v>215</v>
      </c>
      <c r="L364" s="13" t="n">
        <v>46243</v>
      </c>
      <c r="M364" s="6" t="n">
        <v>1</v>
      </c>
      <c r="N364" s="13" t="n">
        <v>46247</v>
      </c>
      <c r="O364" s="6" t="n">
        <v>1</v>
      </c>
      <c r="P364" s="6" t="s">
        <v>1499</v>
      </c>
      <c r="Q364" s="8" t="n">
        <v>27200</v>
      </c>
      <c r="R364" s="6" t="s">
        <v>89</v>
      </c>
      <c r="S364" s="8" t="n">
        <f aca="false">IF(Q364="","",IF(R364="EUR",ROUND(Q364*Параметры!$B$3,0),Q364))</f>
        <v>27200</v>
      </c>
      <c r="T364" s="6" t="s">
        <v>71</v>
      </c>
      <c r="U364" s="6" t="s">
        <v>225</v>
      </c>
      <c r="V364" s="13"/>
      <c r="W364" s="6" t="n">
        <f aca="false">IF(T364="Оплачено",1,0)</f>
        <v>0</v>
      </c>
      <c r="X364" s="6" t="n">
        <f aca="false">IF(OR(T364="Не дозвонились",Y364=0),0,1)</f>
        <v>1</v>
      </c>
      <c r="Y364" s="6" t="n">
        <v>1</v>
      </c>
      <c r="Z364" s="6"/>
      <c r="AA364" s="6"/>
      <c r="AB364" s="6" t="s">
        <v>235</v>
      </c>
    </row>
    <row r="365" customFormat="false" ht="15" hidden="false" customHeight="false" outlineLevel="0" collapsed="false">
      <c r="A365" s="6" t="n">
        <v>364</v>
      </c>
      <c r="B365" s="6" t="s">
        <v>30</v>
      </c>
      <c r="C365" s="6" t="s">
        <v>1500</v>
      </c>
      <c r="D365" s="13" t="n">
        <v>46242</v>
      </c>
      <c r="E365" s="6" t="n">
        <f aca="false">MONTH(D365)</f>
        <v>8</v>
      </c>
      <c r="F365" s="6" t="s">
        <v>1501</v>
      </c>
      <c r="G365" s="6" t="s">
        <v>1502</v>
      </c>
      <c r="H365" s="6" t="s">
        <v>243</v>
      </c>
      <c r="I365" s="6" t="s">
        <v>37</v>
      </c>
      <c r="J365" s="6" t="s">
        <v>598</v>
      </c>
      <c r="K365" s="6" t="s">
        <v>281</v>
      </c>
      <c r="L365" s="13" t="n">
        <v>46247</v>
      </c>
      <c r="M365" s="6" t="n">
        <v>1</v>
      </c>
      <c r="N365" s="13" t="n">
        <v>46247</v>
      </c>
      <c r="O365" s="6" t="n">
        <v>1</v>
      </c>
      <c r="P365" s="6" t="s">
        <v>1503</v>
      </c>
      <c r="Q365" s="8" t="n">
        <v>7500</v>
      </c>
      <c r="R365" s="6" t="s">
        <v>89</v>
      </c>
      <c r="S365" s="8" t="n">
        <f aca="false">IF(Q365="","",IF(R365="EUR",ROUND(Q365*Параметры!$B$3,0),Q365))</f>
        <v>7500</v>
      </c>
      <c r="T365" s="6" t="s">
        <v>15</v>
      </c>
      <c r="U365" s="6" t="s">
        <v>187</v>
      </c>
      <c r="V365" s="13"/>
      <c r="W365" s="6" t="n">
        <f aca="false">IF(T365="Оплачено",1,0)</f>
        <v>1</v>
      </c>
      <c r="X365" s="6" t="n">
        <f aca="false">IF(OR(T365="Не дозвонились",Y365=0),0,1)</f>
        <v>1</v>
      </c>
      <c r="Y365" s="6" t="n">
        <v>1</v>
      </c>
      <c r="Z365" s="6"/>
      <c r="AA365" s="6" t="s">
        <v>1395</v>
      </c>
      <c r="AB365" s="6"/>
    </row>
    <row r="366" customFormat="false" ht="15" hidden="false" customHeight="false" outlineLevel="0" collapsed="false">
      <c r="A366" s="6" t="n">
        <v>365</v>
      </c>
      <c r="B366" s="6" t="s">
        <v>30</v>
      </c>
      <c r="C366" s="6" t="s">
        <v>1504</v>
      </c>
      <c r="D366" s="13" t="n">
        <v>46242</v>
      </c>
      <c r="E366" s="6" t="n">
        <f aca="false">MONTH(D366)</f>
        <v>8</v>
      </c>
      <c r="F366" s="6" t="s">
        <v>1505</v>
      </c>
      <c r="G366" s="6" t="s">
        <v>1506</v>
      </c>
      <c r="H366" s="6" t="s">
        <v>77</v>
      </c>
      <c r="I366" s="6" t="s">
        <v>35</v>
      </c>
      <c r="J366" s="6" t="s">
        <v>142</v>
      </c>
      <c r="K366" s="6" t="s">
        <v>87</v>
      </c>
      <c r="L366" s="13" t="n">
        <v>46246</v>
      </c>
      <c r="M366" s="6" t="n">
        <v>1</v>
      </c>
      <c r="N366" s="13" t="n">
        <v>46248</v>
      </c>
      <c r="O366" s="6" t="n">
        <v>1</v>
      </c>
      <c r="P366" s="6" t="s">
        <v>1507</v>
      </c>
      <c r="Q366" s="8" t="n">
        <v>22500</v>
      </c>
      <c r="R366" s="6" t="s">
        <v>89</v>
      </c>
      <c r="S366" s="8" t="n">
        <f aca="false">IF(Q366="","",IF(R366="EUR",ROUND(Q366*Параметры!$B$3,0),Q366))</f>
        <v>22500</v>
      </c>
      <c r="T366" s="6" t="s">
        <v>90</v>
      </c>
      <c r="U366" s="6" t="s">
        <v>136</v>
      </c>
      <c r="V366" s="13"/>
      <c r="W366" s="6" t="n">
        <f aca="false">IF(T366="Оплачено",1,0)</f>
        <v>0</v>
      </c>
      <c r="X366" s="6" t="n">
        <f aca="false">IF(OR(T366="Не дозвонились",Y366=0),0,1)</f>
        <v>1</v>
      </c>
      <c r="Y366" s="6" t="n">
        <v>1</v>
      </c>
      <c r="Z366" s="6"/>
      <c r="AA366" s="6"/>
      <c r="AB366" s="6"/>
    </row>
    <row r="367" customFormat="false" ht="15" hidden="false" customHeight="false" outlineLevel="0" collapsed="false">
      <c r="A367" s="6" t="n">
        <v>366</v>
      </c>
      <c r="B367" s="6" t="s">
        <v>30</v>
      </c>
      <c r="C367" s="6" t="s">
        <v>1508</v>
      </c>
      <c r="D367" s="13" t="n">
        <v>46242</v>
      </c>
      <c r="E367" s="6" t="n">
        <f aca="false">MONTH(D367)</f>
        <v>8</v>
      </c>
      <c r="F367" s="6" t="s">
        <v>1509</v>
      </c>
      <c r="G367" s="6" t="s">
        <v>1510</v>
      </c>
      <c r="H367" s="6" t="s">
        <v>213</v>
      </c>
      <c r="I367" s="6" t="s">
        <v>37</v>
      </c>
      <c r="J367" s="6" t="s">
        <v>598</v>
      </c>
      <c r="K367" s="6" t="s">
        <v>133</v>
      </c>
      <c r="L367" s="13" t="n">
        <v>46243</v>
      </c>
      <c r="M367" s="6" t="n">
        <v>1</v>
      </c>
      <c r="N367" s="13" t="n">
        <v>46244</v>
      </c>
      <c r="O367" s="6" t="n">
        <v>1</v>
      </c>
      <c r="P367" s="6" t="s">
        <v>561</v>
      </c>
      <c r="Q367" s="8" t="n">
        <v>29600</v>
      </c>
      <c r="R367" s="6" t="s">
        <v>89</v>
      </c>
      <c r="S367" s="8" t="n">
        <f aca="false">IF(Q367="","",IF(R367="EUR",ROUND(Q367*Параметры!$B$3,0),Q367))</f>
        <v>29600</v>
      </c>
      <c r="T367" s="6" t="s">
        <v>71</v>
      </c>
      <c r="U367" s="6" t="s">
        <v>72</v>
      </c>
      <c r="V367" s="13"/>
      <c r="W367" s="6" t="n">
        <f aca="false">IF(T367="Оплачено",1,0)</f>
        <v>0</v>
      </c>
      <c r="X367" s="6" t="n">
        <f aca="false">IF(OR(T367="Не дозвонились",Y367=0),0,1)</f>
        <v>1</v>
      </c>
      <c r="Y367" s="6" t="n">
        <v>1</v>
      </c>
      <c r="Z367" s="6"/>
      <c r="AA367" s="6"/>
      <c r="AB367" s="6" t="s">
        <v>258</v>
      </c>
    </row>
    <row r="368" customFormat="false" ht="15" hidden="false" customHeight="false" outlineLevel="0" collapsed="false">
      <c r="A368" s="6" t="n">
        <v>367</v>
      </c>
      <c r="B368" s="6" t="s">
        <v>30</v>
      </c>
      <c r="C368" s="6" t="s">
        <v>1511</v>
      </c>
      <c r="D368" s="13" t="n">
        <v>46242</v>
      </c>
      <c r="E368" s="6" t="n">
        <f aca="false">MONTH(D368)</f>
        <v>8</v>
      </c>
      <c r="F368" s="6" t="s">
        <v>1512</v>
      </c>
      <c r="G368" s="6" t="s">
        <v>1513</v>
      </c>
      <c r="H368" s="6" t="s">
        <v>147</v>
      </c>
      <c r="I368" s="6" t="s">
        <v>35</v>
      </c>
      <c r="J368" s="6" t="s">
        <v>276</v>
      </c>
      <c r="K368" s="6" t="s">
        <v>133</v>
      </c>
      <c r="L368" s="13" t="n">
        <v>46245</v>
      </c>
      <c r="M368" s="6" t="n">
        <v>1</v>
      </c>
      <c r="N368" s="13" t="n">
        <v>46246</v>
      </c>
      <c r="O368" s="6" t="n">
        <v>1</v>
      </c>
      <c r="P368" s="6" t="s">
        <v>1000</v>
      </c>
      <c r="Q368" s="8" t="n">
        <v>21700</v>
      </c>
      <c r="R368" s="6" t="s">
        <v>89</v>
      </c>
      <c r="S368" s="8" t="n">
        <f aca="false">IF(Q368="","",IF(R368="EUR",ROUND(Q368*Параметры!$B$3,0),Q368))</f>
        <v>21700</v>
      </c>
      <c r="T368" s="6" t="s">
        <v>15</v>
      </c>
      <c r="U368" s="6" t="s">
        <v>187</v>
      </c>
      <c r="V368" s="13" t="n">
        <v>46252</v>
      </c>
      <c r="W368" s="6" t="n">
        <f aca="false">IF(T368="Оплачено",1,0)</f>
        <v>1</v>
      </c>
      <c r="X368" s="6" t="n">
        <f aca="false">IF(OR(T368="Не дозвонились",Y368=0),0,1)</f>
        <v>1</v>
      </c>
      <c r="Y368" s="6" t="n">
        <v>1</v>
      </c>
      <c r="Z368" s="6"/>
      <c r="AA368" s="6"/>
      <c r="AB368" s="6"/>
    </row>
    <row r="369" customFormat="false" ht="15" hidden="false" customHeight="false" outlineLevel="0" collapsed="false">
      <c r="A369" s="6" t="n">
        <v>368</v>
      </c>
      <c r="B369" s="6" t="s">
        <v>28</v>
      </c>
      <c r="C369" s="6" t="s">
        <v>1514</v>
      </c>
      <c r="D369" s="13" t="n">
        <v>46243</v>
      </c>
      <c r="E369" s="6" t="n">
        <f aca="false">MONTH(D369)</f>
        <v>8</v>
      </c>
      <c r="F369" s="6" t="s">
        <v>1515</v>
      </c>
      <c r="G369" s="6" t="s">
        <v>1516</v>
      </c>
      <c r="H369" s="6" t="s">
        <v>1094</v>
      </c>
      <c r="I369" s="6" t="s">
        <v>34</v>
      </c>
      <c r="J369" s="6" t="s">
        <v>97</v>
      </c>
      <c r="K369" s="6" t="s">
        <v>98</v>
      </c>
      <c r="L369" s="13"/>
      <c r="M369" s="6" t="n">
        <v>0</v>
      </c>
      <c r="N369" s="13"/>
      <c r="O369" s="6" t="n">
        <v>0</v>
      </c>
      <c r="P369" s="6"/>
      <c r="Q369" s="8"/>
      <c r="R369" s="6"/>
      <c r="S369" s="8" t="str">
        <f aca="false">IF(Q369="","",IF(R369="EUR",ROUND(Q369*Параметры!$B$3,0),Q369))</f>
        <v/>
      </c>
      <c r="T369" s="6" t="s">
        <v>71</v>
      </c>
      <c r="U369" s="6" t="s">
        <v>71</v>
      </c>
      <c r="V369" s="13"/>
      <c r="W369" s="6" t="n">
        <f aca="false">IF(T369="Оплачено",1,0)</f>
        <v>0</v>
      </c>
      <c r="X369" s="6" t="n">
        <f aca="false">IF(OR(T369="Не дозвонились",Y369=0),0,1)</f>
        <v>1</v>
      </c>
      <c r="Y369" s="6" t="n">
        <v>1</v>
      </c>
      <c r="Z369" s="6"/>
      <c r="AA369" s="6"/>
      <c r="AB369" s="6" t="s">
        <v>180</v>
      </c>
    </row>
    <row r="370" customFormat="false" ht="15" hidden="false" customHeight="false" outlineLevel="0" collapsed="false">
      <c r="A370" s="6" t="n">
        <v>369</v>
      </c>
      <c r="B370" s="6" t="s">
        <v>29</v>
      </c>
      <c r="C370" s="6" t="s">
        <v>1517</v>
      </c>
      <c r="D370" s="13" t="n">
        <v>46243</v>
      </c>
      <c r="E370" s="6" t="n">
        <f aca="false">MONTH(D370)</f>
        <v>8</v>
      </c>
      <c r="F370" s="6" t="s">
        <v>1518</v>
      </c>
      <c r="G370" s="6" t="s">
        <v>1519</v>
      </c>
      <c r="H370" s="6" t="s">
        <v>114</v>
      </c>
      <c r="I370" s="6" t="s">
        <v>35</v>
      </c>
      <c r="J370" s="6" t="s">
        <v>35</v>
      </c>
      <c r="K370" s="6" t="s">
        <v>344</v>
      </c>
      <c r="L370" s="13" t="n">
        <v>46246</v>
      </c>
      <c r="M370" s="6" t="n">
        <v>1</v>
      </c>
      <c r="N370" s="13" t="n">
        <v>46246</v>
      </c>
      <c r="O370" s="6" t="n">
        <v>1</v>
      </c>
      <c r="P370" s="6" t="s">
        <v>1520</v>
      </c>
      <c r="Q370" s="8" t="n">
        <v>13500</v>
      </c>
      <c r="R370" s="6" t="s">
        <v>89</v>
      </c>
      <c r="S370" s="8" t="n">
        <f aca="false">IF(Q370="","",IF(R370="EUR",ROUND(Q370*Параметры!$B$3,0),Q370))</f>
        <v>13500</v>
      </c>
      <c r="T370" s="6" t="s">
        <v>15</v>
      </c>
      <c r="U370" s="6" t="s">
        <v>490</v>
      </c>
      <c r="V370" s="13" t="n">
        <v>46253</v>
      </c>
      <c r="W370" s="6" t="n">
        <f aca="false">IF(T370="Оплачено",1,0)</f>
        <v>1</v>
      </c>
      <c r="X370" s="6" t="n">
        <f aca="false">IF(OR(T370="Не дозвонились",Y370=0),0,1)</f>
        <v>1</v>
      </c>
      <c r="Y370" s="6" t="n">
        <v>1</v>
      </c>
      <c r="Z370" s="6"/>
      <c r="AA370" s="6"/>
      <c r="AB370" s="6"/>
    </row>
    <row r="371" customFormat="false" ht="15" hidden="false" customHeight="false" outlineLevel="0" collapsed="false">
      <c r="A371" s="6" t="n">
        <v>370</v>
      </c>
      <c r="B371" s="6" t="s">
        <v>29</v>
      </c>
      <c r="C371" s="6" t="s">
        <v>1521</v>
      </c>
      <c r="D371" s="13" t="n">
        <v>46243</v>
      </c>
      <c r="E371" s="6" t="n">
        <f aca="false">MONTH(D371)</f>
        <v>8</v>
      </c>
      <c r="F371" s="6" t="s">
        <v>1522</v>
      </c>
      <c r="G371" s="6" t="s">
        <v>1523</v>
      </c>
      <c r="H371" s="6" t="s">
        <v>114</v>
      </c>
      <c r="I371" s="6" t="s">
        <v>35</v>
      </c>
      <c r="J371" s="6" t="s">
        <v>142</v>
      </c>
      <c r="K371" s="6" t="s">
        <v>239</v>
      </c>
      <c r="L371" s="13"/>
      <c r="M371" s="6" t="n">
        <v>0</v>
      </c>
      <c r="N371" s="13"/>
      <c r="O371" s="6" t="n">
        <v>0</v>
      </c>
      <c r="P371" s="6"/>
      <c r="Q371" s="8"/>
      <c r="R371" s="6"/>
      <c r="S371" s="8" t="str">
        <f aca="false">IF(Q371="","",IF(R371="EUR",ROUND(Q371*Параметры!$B$3,0),Q371))</f>
        <v/>
      </c>
      <c r="T371" s="6" t="s">
        <v>71</v>
      </c>
      <c r="U371" s="6" t="s">
        <v>301</v>
      </c>
      <c r="V371" s="13"/>
      <c r="W371" s="6" t="n">
        <f aca="false">IF(T371="Оплачено",1,0)</f>
        <v>0</v>
      </c>
      <c r="X371" s="6" t="n">
        <f aca="false">IF(OR(T371="Не дозвонились",Y371=0),0,1)</f>
        <v>1</v>
      </c>
      <c r="Y371" s="6" t="n">
        <v>1</v>
      </c>
      <c r="Z371" s="6"/>
      <c r="AA371" s="6"/>
      <c r="AB371" s="6"/>
    </row>
    <row r="372" customFormat="false" ht="15" hidden="false" customHeight="false" outlineLevel="0" collapsed="false">
      <c r="A372" s="6" t="n">
        <v>371</v>
      </c>
      <c r="B372" s="6" t="s">
        <v>28</v>
      </c>
      <c r="C372" s="6" t="s">
        <v>1524</v>
      </c>
      <c r="D372" s="13" t="n">
        <v>46244</v>
      </c>
      <c r="E372" s="6" t="n">
        <f aca="false">MONTH(D372)</f>
        <v>8</v>
      </c>
      <c r="F372" s="6" t="s">
        <v>1525</v>
      </c>
      <c r="G372" s="6" t="s">
        <v>1526</v>
      </c>
      <c r="H372" s="6" t="s">
        <v>103</v>
      </c>
      <c r="I372" s="6" t="s">
        <v>35</v>
      </c>
      <c r="J372" s="6" t="s">
        <v>35</v>
      </c>
      <c r="K372" s="6" t="s">
        <v>162</v>
      </c>
      <c r="L372" s="13"/>
      <c r="M372" s="6" t="n">
        <v>0</v>
      </c>
      <c r="N372" s="13"/>
      <c r="O372" s="6" t="n">
        <v>0</v>
      </c>
      <c r="P372" s="6"/>
      <c r="Q372" s="8"/>
      <c r="R372" s="6"/>
      <c r="S372" s="8" t="str">
        <f aca="false">IF(Q372="","",IF(R372="EUR",ROUND(Q372*Параметры!$B$3,0),Q372))</f>
        <v/>
      </c>
      <c r="T372" s="6" t="s">
        <v>80</v>
      </c>
      <c r="U372" s="6" t="s">
        <v>163</v>
      </c>
      <c r="V372" s="13"/>
      <c r="W372" s="6" t="n">
        <f aca="false">IF(T372="Оплачено",1,0)</f>
        <v>0</v>
      </c>
      <c r="X372" s="6" t="n">
        <f aca="false">IF(OR(T372="Не дозвонились",Y372=0),0,1)</f>
        <v>0</v>
      </c>
      <c r="Y372" s="6" t="n">
        <v>1</v>
      </c>
      <c r="Z372" s="6"/>
      <c r="AA372" s="6"/>
      <c r="AB372" s="6"/>
    </row>
    <row r="373" customFormat="false" ht="15" hidden="false" customHeight="false" outlineLevel="0" collapsed="false">
      <c r="A373" s="6" t="n">
        <v>372</v>
      </c>
      <c r="B373" s="6" t="s">
        <v>29</v>
      </c>
      <c r="C373" s="6" t="s">
        <v>1527</v>
      </c>
      <c r="D373" s="13" t="n">
        <v>46244</v>
      </c>
      <c r="E373" s="6" t="n">
        <f aca="false">MONTH(D373)</f>
        <v>8</v>
      </c>
      <c r="F373" s="6" t="s">
        <v>1528</v>
      </c>
      <c r="G373" s="6" t="s">
        <v>1529</v>
      </c>
      <c r="H373" s="6" t="s">
        <v>121</v>
      </c>
      <c r="I373" s="6" t="s">
        <v>37</v>
      </c>
      <c r="J373" s="6" t="s">
        <v>69</v>
      </c>
      <c r="K373" s="6" t="s">
        <v>175</v>
      </c>
      <c r="L373" s="13" t="n">
        <v>46247</v>
      </c>
      <c r="M373" s="6" t="n">
        <v>1</v>
      </c>
      <c r="N373" s="13" t="n">
        <v>46251</v>
      </c>
      <c r="O373" s="6" t="n">
        <v>1</v>
      </c>
      <c r="P373" s="6" t="s">
        <v>1530</v>
      </c>
      <c r="Q373" s="8" t="n">
        <v>4900</v>
      </c>
      <c r="R373" s="6" t="s">
        <v>89</v>
      </c>
      <c r="S373" s="8" t="n">
        <f aca="false">IF(Q373="","",IF(R373="EUR",ROUND(Q373*Параметры!$B$3,0),Q373))</f>
        <v>4900</v>
      </c>
      <c r="T373" s="6" t="s">
        <v>90</v>
      </c>
      <c r="U373" s="6" t="s">
        <v>123</v>
      </c>
      <c r="V373" s="13"/>
      <c r="W373" s="6" t="n">
        <f aca="false">IF(T373="Оплачено",1,0)</f>
        <v>0</v>
      </c>
      <c r="X373" s="6" t="n">
        <f aca="false">IF(OR(T373="Не дозвонились",Y373=0),0,1)</f>
        <v>1</v>
      </c>
      <c r="Y373" s="6" t="n">
        <v>1</v>
      </c>
      <c r="Z373" s="6"/>
      <c r="AA373" s="6"/>
      <c r="AB373" s="6" t="s">
        <v>987</v>
      </c>
    </row>
    <row r="374" customFormat="false" ht="15" hidden="false" customHeight="false" outlineLevel="0" collapsed="false">
      <c r="A374" s="6" t="n">
        <v>373</v>
      </c>
      <c r="B374" s="6" t="s">
        <v>29</v>
      </c>
      <c r="C374" s="6" t="s">
        <v>1531</v>
      </c>
      <c r="D374" s="13" t="n">
        <v>46244</v>
      </c>
      <c r="E374" s="6" t="n">
        <f aca="false">MONTH(D374)</f>
        <v>8</v>
      </c>
      <c r="F374" s="6" t="s">
        <v>1532</v>
      </c>
      <c r="G374" s="6" t="s">
        <v>1533</v>
      </c>
      <c r="H374" s="6" t="s">
        <v>266</v>
      </c>
      <c r="I374" s="6" t="s">
        <v>34</v>
      </c>
      <c r="J374" s="6" t="s">
        <v>383</v>
      </c>
      <c r="K374" s="6" t="s">
        <v>143</v>
      </c>
      <c r="L374" s="13"/>
      <c r="M374" s="6" t="n">
        <v>0</v>
      </c>
      <c r="N374" s="13"/>
      <c r="O374" s="6" t="n">
        <v>0</v>
      </c>
      <c r="P374" s="6"/>
      <c r="Q374" s="8"/>
      <c r="R374" s="6"/>
      <c r="S374" s="8" t="str">
        <f aca="false">IF(Q374="","",IF(R374="EUR",ROUND(Q374*Параметры!$B$3,0),Q374))</f>
        <v/>
      </c>
      <c r="T374" s="6" t="s">
        <v>71</v>
      </c>
      <c r="U374" s="6" t="s">
        <v>301</v>
      </c>
      <c r="V374" s="13"/>
      <c r="W374" s="6" t="n">
        <f aca="false">IF(T374="Оплачено",1,0)</f>
        <v>0</v>
      </c>
      <c r="X374" s="6" t="n">
        <f aca="false">IF(OR(T374="Не дозвонились",Y374=0),0,1)</f>
        <v>1</v>
      </c>
      <c r="Y374" s="6" t="n">
        <v>1</v>
      </c>
      <c r="Z374" s="6"/>
      <c r="AA374" s="6"/>
      <c r="AB374" s="6" t="s">
        <v>209</v>
      </c>
    </row>
    <row r="375" customFormat="false" ht="15" hidden="false" customHeight="false" outlineLevel="0" collapsed="false">
      <c r="A375" s="6" t="n">
        <v>374</v>
      </c>
      <c r="B375" s="6" t="s">
        <v>30</v>
      </c>
      <c r="C375" s="6" t="s">
        <v>1534</v>
      </c>
      <c r="D375" s="13" t="n">
        <v>46244</v>
      </c>
      <c r="E375" s="6" t="n">
        <f aca="false">MONTH(D375)</f>
        <v>8</v>
      </c>
      <c r="F375" s="6" t="s">
        <v>1535</v>
      </c>
      <c r="G375" s="6" t="s">
        <v>1536</v>
      </c>
      <c r="H375" s="6" t="s">
        <v>161</v>
      </c>
      <c r="I375" s="6" t="s">
        <v>38</v>
      </c>
      <c r="J375" s="6" t="s">
        <v>244</v>
      </c>
      <c r="K375" s="6" t="s">
        <v>79</v>
      </c>
      <c r="L375" s="13" t="n">
        <v>46248</v>
      </c>
      <c r="M375" s="6" t="n">
        <v>1</v>
      </c>
      <c r="N375" s="13" t="n">
        <v>46249</v>
      </c>
      <c r="O375" s="6" t="n">
        <v>1</v>
      </c>
      <c r="P375" s="6" t="s">
        <v>1537</v>
      </c>
      <c r="Q375" s="8" t="n">
        <v>20300</v>
      </c>
      <c r="R375" s="6" t="s">
        <v>89</v>
      </c>
      <c r="S375" s="8" t="n">
        <f aca="false">IF(Q375="","",IF(R375="EUR",ROUND(Q375*Параметры!$B$3,0),Q375))</f>
        <v>20300</v>
      </c>
      <c r="T375" s="6" t="s">
        <v>71</v>
      </c>
      <c r="U375" s="6" t="s">
        <v>225</v>
      </c>
      <c r="V375" s="13"/>
      <c r="W375" s="6" t="n">
        <f aca="false">IF(T375="Оплачено",1,0)</f>
        <v>0</v>
      </c>
      <c r="X375" s="6" t="n">
        <f aca="false">IF(OR(T375="Не дозвонились",Y375=0),0,1)</f>
        <v>1</v>
      </c>
      <c r="Y375" s="6" t="n">
        <v>1</v>
      </c>
      <c r="Z375" s="6"/>
      <c r="AA375" s="6"/>
      <c r="AB375" s="6"/>
    </row>
    <row r="376" customFormat="false" ht="15" hidden="false" customHeight="false" outlineLevel="0" collapsed="false">
      <c r="A376" s="6" t="n">
        <v>375</v>
      </c>
      <c r="B376" s="6" t="s">
        <v>30</v>
      </c>
      <c r="C376" s="6" t="s">
        <v>1538</v>
      </c>
      <c r="D376" s="13" t="n">
        <v>46244</v>
      </c>
      <c r="E376" s="6" t="n">
        <f aca="false">MONTH(D376)</f>
        <v>8</v>
      </c>
      <c r="F376" s="6" t="s">
        <v>1539</v>
      </c>
      <c r="G376" s="6" t="s">
        <v>1540</v>
      </c>
      <c r="H376" s="6" t="s">
        <v>85</v>
      </c>
      <c r="I376" s="6" t="s">
        <v>35</v>
      </c>
      <c r="J376" s="6" t="s">
        <v>148</v>
      </c>
      <c r="K376" s="6" t="s">
        <v>215</v>
      </c>
      <c r="L376" s="13"/>
      <c r="M376" s="6" t="n">
        <v>0</v>
      </c>
      <c r="N376" s="13"/>
      <c r="O376" s="6" t="n">
        <v>0</v>
      </c>
      <c r="P376" s="6"/>
      <c r="Q376" s="8"/>
      <c r="R376" s="6"/>
      <c r="S376" s="8" t="str">
        <f aca="false">IF(Q376="","",IF(R376="EUR",ROUND(Q376*Параметры!$B$3,0),Q376))</f>
        <v/>
      </c>
      <c r="T376" s="6" t="s">
        <v>150</v>
      </c>
      <c r="U376" s="6" t="s">
        <v>151</v>
      </c>
      <c r="V376" s="13"/>
      <c r="W376" s="6" t="n">
        <f aca="false">IF(T376="Оплачено",1,0)</f>
        <v>0</v>
      </c>
      <c r="X376" s="6" t="n">
        <f aca="false">IF(OR(T376="Не дозвонились",Y376=0),0,1)</f>
        <v>1</v>
      </c>
      <c r="Y376" s="6" t="n">
        <v>1</v>
      </c>
      <c r="Z376" s="6"/>
      <c r="AA376" s="6"/>
      <c r="AB376" s="6"/>
    </row>
    <row r="377" customFormat="false" ht="15" hidden="false" customHeight="false" outlineLevel="0" collapsed="false">
      <c r="A377" s="6" t="n">
        <v>376</v>
      </c>
      <c r="B377" s="6" t="s">
        <v>28</v>
      </c>
      <c r="C377" s="6" t="s">
        <v>1541</v>
      </c>
      <c r="D377" s="13" t="n">
        <v>46245</v>
      </c>
      <c r="E377" s="6" t="n">
        <f aca="false">MONTH(D377)</f>
        <v>8</v>
      </c>
      <c r="F377" s="6" t="s">
        <v>1542</v>
      </c>
      <c r="G377" s="6" t="s">
        <v>1543</v>
      </c>
      <c r="H377" s="6" t="s">
        <v>103</v>
      </c>
      <c r="I377" s="6" t="s">
        <v>34</v>
      </c>
      <c r="J377" s="6" t="s">
        <v>97</v>
      </c>
      <c r="K377" s="6" t="s">
        <v>314</v>
      </c>
      <c r="L377" s="13"/>
      <c r="M377" s="6" t="n">
        <v>0</v>
      </c>
      <c r="N377" s="13"/>
      <c r="O377" s="6" t="n">
        <v>0</v>
      </c>
      <c r="P377" s="6"/>
      <c r="Q377" s="8"/>
      <c r="R377" s="6"/>
      <c r="S377" s="8" t="str">
        <f aca="false">IF(Q377="","",IF(R377="EUR",ROUND(Q377*Параметры!$B$3,0),Q377))</f>
        <v/>
      </c>
      <c r="T377" s="6" t="s">
        <v>71</v>
      </c>
      <c r="U377" s="6" t="s">
        <v>71</v>
      </c>
      <c r="V377" s="13"/>
      <c r="W377" s="6" t="n">
        <f aca="false">IF(T377="Оплачено",1,0)</f>
        <v>0</v>
      </c>
      <c r="X377" s="6" t="n">
        <f aca="false">IF(OR(T377="Не дозвонились",Y377=0),0,1)</f>
        <v>1</v>
      </c>
      <c r="Y377" s="6" t="n">
        <v>1</v>
      </c>
      <c r="Z377" s="6"/>
      <c r="AA377" s="6"/>
      <c r="AB377" s="6" t="s">
        <v>325</v>
      </c>
    </row>
    <row r="378" customFormat="false" ht="15" hidden="false" customHeight="false" outlineLevel="0" collapsed="false">
      <c r="A378" s="6" t="n">
        <v>377</v>
      </c>
      <c r="B378" s="6" t="s">
        <v>28</v>
      </c>
      <c r="C378" s="6" t="s">
        <v>1544</v>
      </c>
      <c r="D378" s="13" t="n">
        <v>46245</v>
      </c>
      <c r="E378" s="6" t="n">
        <f aca="false">MONTH(D378)</f>
        <v>8</v>
      </c>
      <c r="F378" s="6" t="s">
        <v>1545</v>
      </c>
      <c r="G378" s="6" t="s">
        <v>1546</v>
      </c>
      <c r="H378" s="6" t="s">
        <v>161</v>
      </c>
      <c r="I378" s="6" t="s">
        <v>34</v>
      </c>
      <c r="J378" s="6" t="s">
        <v>34</v>
      </c>
      <c r="K378" s="6" t="s">
        <v>104</v>
      </c>
      <c r="L378" s="13"/>
      <c r="M378" s="6" t="n">
        <v>0</v>
      </c>
      <c r="N378" s="13"/>
      <c r="O378" s="6" t="n">
        <v>0</v>
      </c>
      <c r="P378" s="6"/>
      <c r="Q378" s="8"/>
      <c r="R378" s="6"/>
      <c r="S378" s="8" t="str">
        <f aca="false">IF(Q378="","",IF(R378="EUR",ROUND(Q378*Параметры!$B$3,0),Q378))</f>
        <v/>
      </c>
      <c r="T378" s="6" t="s">
        <v>71</v>
      </c>
      <c r="U378" s="6" t="s">
        <v>71</v>
      </c>
      <c r="V378" s="13"/>
      <c r="W378" s="6" t="n">
        <f aca="false">IF(T378="Оплачено",1,0)</f>
        <v>0</v>
      </c>
      <c r="X378" s="6" t="n">
        <f aca="false">IF(OR(T378="Не дозвонились",Y378=0),0,1)</f>
        <v>1</v>
      </c>
      <c r="Y378" s="6" t="n">
        <v>1</v>
      </c>
      <c r="Z378" s="6"/>
      <c r="AA378" s="6" t="s">
        <v>1547</v>
      </c>
      <c r="AB378" s="6" t="s">
        <v>1548</v>
      </c>
    </row>
    <row r="379" customFormat="false" ht="15" hidden="false" customHeight="false" outlineLevel="0" collapsed="false">
      <c r="A379" s="6" t="n">
        <v>378</v>
      </c>
      <c r="B379" s="6" t="s">
        <v>28</v>
      </c>
      <c r="C379" s="6" t="s">
        <v>1549</v>
      </c>
      <c r="D379" s="13" t="n">
        <v>46245</v>
      </c>
      <c r="E379" s="6" t="n">
        <f aca="false">MONTH(D379)</f>
        <v>8</v>
      </c>
      <c r="F379" s="6" t="s">
        <v>1550</v>
      </c>
      <c r="G379" s="6" t="s">
        <v>1551</v>
      </c>
      <c r="H379" s="6" t="s">
        <v>208</v>
      </c>
      <c r="I379" s="6" t="s">
        <v>35</v>
      </c>
      <c r="J379" s="6" t="s">
        <v>35</v>
      </c>
      <c r="K379" s="6" t="s">
        <v>314</v>
      </c>
      <c r="L379" s="13" t="n">
        <v>46247</v>
      </c>
      <c r="M379" s="6" t="n">
        <v>1</v>
      </c>
      <c r="N379" s="13" t="n">
        <v>46248</v>
      </c>
      <c r="O379" s="6" t="n">
        <v>1</v>
      </c>
      <c r="P379" s="6" t="s">
        <v>1552</v>
      </c>
      <c r="Q379" s="8" t="n">
        <v>51200</v>
      </c>
      <c r="R379" s="6" t="s">
        <v>89</v>
      </c>
      <c r="S379" s="8" t="n">
        <f aca="false">IF(Q379="","",IF(R379="EUR",ROUND(Q379*Параметры!$B$3,0),Q379))</f>
        <v>51200</v>
      </c>
      <c r="T379" s="6" t="s">
        <v>71</v>
      </c>
      <c r="U379" s="6" t="s">
        <v>71</v>
      </c>
      <c r="V379" s="13"/>
      <c r="W379" s="6" t="n">
        <f aca="false">IF(T379="Оплачено",1,0)</f>
        <v>0</v>
      </c>
      <c r="X379" s="6" t="n">
        <f aca="false">IF(OR(T379="Не дозвонились",Y379=0),0,1)</f>
        <v>1</v>
      </c>
      <c r="Y379" s="6" t="n">
        <v>1</v>
      </c>
      <c r="Z379" s="6"/>
      <c r="AA379" s="6" t="s">
        <v>1553</v>
      </c>
      <c r="AB379" s="6" t="s">
        <v>258</v>
      </c>
    </row>
    <row r="380" customFormat="false" ht="15" hidden="false" customHeight="false" outlineLevel="0" collapsed="false">
      <c r="A380" s="6" t="n">
        <v>379</v>
      </c>
      <c r="B380" s="6" t="s">
        <v>30</v>
      </c>
      <c r="C380" s="6" t="s">
        <v>1554</v>
      </c>
      <c r="D380" s="13" t="n">
        <v>46245</v>
      </c>
      <c r="E380" s="6" t="n">
        <f aca="false">MONTH(D380)</f>
        <v>8</v>
      </c>
      <c r="F380" s="6" t="s">
        <v>1555</v>
      </c>
      <c r="G380" s="6" t="s">
        <v>1556</v>
      </c>
      <c r="H380" s="6" t="s">
        <v>850</v>
      </c>
      <c r="I380" s="6" t="s">
        <v>38</v>
      </c>
      <c r="J380" s="6" t="s">
        <v>244</v>
      </c>
      <c r="K380" s="6" t="s">
        <v>149</v>
      </c>
      <c r="L380" s="13" t="n">
        <v>46247</v>
      </c>
      <c r="M380" s="6" t="n">
        <v>1</v>
      </c>
      <c r="N380" s="13" t="n">
        <v>46247</v>
      </c>
      <c r="O380" s="6" t="n">
        <v>1</v>
      </c>
      <c r="P380" s="6" t="s">
        <v>1557</v>
      </c>
      <c r="Q380" s="8" t="n">
        <v>32800</v>
      </c>
      <c r="R380" s="6" t="s">
        <v>89</v>
      </c>
      <c r="S380" s="8" t="n">
        <f aca="false">IF(Q380="","",IF(R380="EUR",ROUND(Q380*Параметры!$B$3,0),Q380))</f>
        <v>32800</v>
      </c>
      <c r="T380" s="6" t="s">
        <v>150</v>
      </c>
      <c r="U380" s="6" t="s">
        <v>151</v>
      </c>
      <c r="V380" s="13"/>
      <c r="W380" s="6" t="n">
        <f aca="false">IF(T380="Оплачено",1,0)</f>
        <v>0</v>
      </c>
      <c r="X380" s="6" t="n">
        <f aca="false">IF(OR(T380="Не дозвонились",Y380=0),0,1)</f>
        <v>1</v>
      </c>
      <c r="Y380" s="6" t="n">
        <v>1</v>
      </c>
      <c r="Z380" s="6"/>
      <c r="AA380" s="6" t="s">
        <v>1558</v>
      </c>
      <c r="AB380" s="6" t="s">
        <v>356</v>
      </c>
    </row>
    <row r="381" customFormat="false" ht="15" hidden="false" customHeight="false" outlineLevel="0" collapsed="false">
      <c r="A381" s="6" t="n">
        <v>380</v>
      </c>
      <c r="B381" s="6" t="s">
        <v>28</v>
      </c>
      <c r="C381" s="6" t="s">
        <v>1559</v>
      </c>
      <c r="D381" s="13" t="n">
        <v>46246</v>
      </c>
      <c r="E381" s="6" t="n">
        <f aca="false">MONTH(D381)</f>
        <v>8</v>
      </c>
      <c r="F381" s="6" t="s">
        <v>1560</v>
      </c>
      <c r="G381" s="6" t="s">
        <v>1561</v>
      </c>
      <c r="H381" s="6" t="s">
        <v>96</v>
      </c>
      <c r="I381" s="6" t="s">
        <v>34</v>
      </c>
      <c r="J381" s="6" t="s">
        <v>34</v>
      </c>
      <c r="K381" s="6" t="s">
        <v>287</v>
      </c>
      <c r="L381" s="13" t="n">
        <v>46251</v>
      </c>
      <c r="M381" s="6" t="n">
        <v>1</v>
      </c>
      <c r="N381" s="13" t="n">
        <v>46252</v>
      </c>
      <c r="O381" s="6" t="n">
        <v>1</v>
      </c>
      <c r="P381" s="6" t="s">
        <v>1562</v>
      </c>
      <c r="Q381" s="8" t="n">
        <v>10800</v>
      </c>
      <c r="R381" s="6" t="s">
        <v>89</v>
      </c>
      <c r="S381" s="8" t="n">
        <f aca="false">IF(Q381="","",IF(R381="EUR",ROUND(Q381*Параметры!$B$3,0),Q381))</f>
        <v>10800</v>
      </c>
      <c r="T381" s="6" t="s">
        <v>71</v>
      </c>
      <c r="U381" s="6" t="s">
        <v>71</v>
      </c>
      <c r="V381" s="13"/>
      <c r="W381" s="6" t="n">
        <f aca="false">IF(T381="Оплачено",1,0)</f>
        <v>0</v>
      </c>
      <c r="X381" s="6" t="n">
        <f aca="false">IF(OR(T381="Не дозвонились",Y381=0),0,1)</f>
        <v>1</v>
      </c>
      <c r="Y381" s="6" t="n">
        <v>1</v>
      </c>
      <c r="Z381" s="6"/>
      <c r="AA381" s="6"/>
      <c r="AB381" s="6"/>
    </row>
    <row r="382" customFormat="false" ht="15" hidden="false" customHeight="false" outlineLevel="0" collapsed="false">
      <c r="A382" s="6" t="n">
        <v>381</v>
      </c>
      <c r="B382" s="6" t="s">
        <v>30</v>
      </c>
      <c r="C382" s="6" t="s">
        <v>1563</v>
      </c>
      <c r="D382" s="13" t="n">
        <v>46246</v>
      </c>
      <c r="E382" s="6" t="n">
        <f aca="false">MONTH(D382)</f>
        <v>8</v>
      </c>
      <c r="F382" s="6" t="s">
        <v>1564</v>
      </c>
      <c r="G382" s="6" t="s">
        <v>1565</v>
      </c>
      <c r="H382" s="6" t="s">
        <v>96</v>
      </c>
      <c r="I382" s="6" t="s">
        <v>34</v>
      </c>
      <c r="J382" s="6" t="s">
        <v>383</v>
      </c>
      <c r="K382" s="6" t="s">
        <v>281</v>
      </c>
      <c r="L382" s="13"/>
      <c r="M382" s="6" t="n">
        <v>0</v>
      </c>
      <c r="N382" s="13"/>
      <c r="O382" s="6" t="n">
        <v>0</v>
      </c>
      <c r="P382" s="6"/>
      <c r="Q382" s="8"/>
      <c r="R382" s="6"/>
      <c r="S382" s="8" t="str">
        <f aca="false">IF(Q382="","",IF(R382="EUR",ROUND(Q382*Параметры!$B$3,0),Q382))</f>
        <v/>
      </c>
      <c r="T382" s="6" t="s">
        <v>150</v>
      </c>
      <c r="U382" s="6" t="s">
        <v>151</v>
      </c>
      <c r="V382" s="13"/>
      <c r="W382" s="6" t="n">
        <f aca="false">IF(T382="Оплачено",1,0)</f>
        <v>0</v>
      </c>
      <c r="X382" s="6" t="n">
        <f aca="false">IF(OR(T382="Не дозвонились",Y382=0),0,1)</f>
        <v>1</v>
      </c>
      <c r="Y382" s="6" t="n">
        <v>1</v>
      </c>
      <c r="Z382" s="6"/>
      <c r="AA382" s="6"/>
      <c r="AB382" s="6"/>
    </row>
    <row r="383" customFormat="false" ht="15" hidden="false" customHeight="false" outlineLevel="0" collapsed="false">
      <c r="A383" s="6" t="n">
        <v>382</v>
      </c>
      <c r="B383" s="6" t="s">
        <v>30</v>
      </c>
      <c r="C383" s="6" t="s">
        <v>1566</v>
      </c>
      <c r="D383" s="13" t="n">
        <v>46246</v>
      </c>
      <c r="E383" s="6" t="n">
        <f aca="false">MONTH(D383)</f>
        <v>8</v>
      </c>
      <c r="F383" s="6" t="s">
        <v>1567</v>
      </c>
      <c r="G383" s="6" t="s">
        <v>1568</v>
      </c>
      <c r="H383" s="6" t="s">
        <v>665</v>
      </c>
      <c r="I383" s="6" t="s">
        <v>38</v>
      </c>
      <c r="J383" s="6" t="s">
        <v>244</v>
      </c>
      <c r="K383" s="6" t="s">
        <v>79</v>
      </c>
      <c r="L383" s="13" t="n">
        <v>46248</v>
      </c>
      <c r="M383" s="6" t="n">
        <v>1</v>
      </c>
      <c r="N383" s="13" t="n">
        <v>46249</v>
      </c>
      <c r="O383" s="6" t="n">
        <v>1</v>
      </c>
      <c r="P383" s="6" t="s">
        <v>1569</v>
      </c>
      <c r="Q383" s="8" t="n">
        <v>22800</v>
      </c>
      <c r="R383" s="6" t="s">
        <v>89</v>
      </c>
      <c r="S383" s="8" t="n">
        <f aca="false">IF(Q383="","",IF(R383="EUR",ROUND(Q383*Параметры!$B$3,0),Q383))</f>
        <v>22800</v>
      </c>
      <c r="T383" s="6" t="s">
        <v>15</v>
      </c>
      <c r="U383" s="6" t="s">
        <v>1109</v>
      </c>
      <c r="V383" s="13" t="n">
        <v>46252</v>
      </c>
      <c r="W383" s="6" t="n">
        <f aca="false">IF(T383="Оплачено",1,0)</f>
        <v>1</v>
      </c>
      <c r="X383" s="6" t="n">
        <f aca="false">IF(OR(T383="Не дозвонились",Y383=0),0,1)</f>
        <v>1</v>
      </c>
      <c r="Y383" s="6" t="n">
        <v>1</v>
      </c>
      <c r="Z383" s="6"/>
      <c r="AA383" s="6" t="s">
        <v>1570</v>
      </c>
      <c r="AB383" s="6" t="s">
        <v>124</v>
      </c>
    </row>
    <row r="384" customFormat="false" ht="15" hidden="false" customHeight="false" outlineLevel="0" collapsed="false">
      <c r="A384" s="14" t="n">
        <v>383</v>
      </c>
      <c r="B384" s="14" t="s">
        <v>30</v>
      </c>
      <c r="C384" s="14" t="s">
        <v>1571</v>
      </c>
      <c r="D384" s="15" t="n">
        <v>46246</v>
      </c>
      <c r="E384" s="14" t="n">
        <f aca="false">MONTH(D384)</f>
        <v>8</v>
      </c>
      <c r="F384" s="14" t="s">
        <v>1567</v>
      </c>
      <c r="G384" s="14" t="s">
        <v>1568</v>
      </c>
      <c r="H384" s="14" t="s">
        <v>665</v>
      </c>
      <c r="I384" s="14" t="s">
        <v>38</v>
      </c>
      <c r="J384" s="14" t="s">
        <v>244</v>
      </c>
      <c r="K384" s="14" t="s">
        <v>79</v>
      </c>
      <c r="L384" s="15" t="n">
        <v>46248</v>
      </c>
      <c r="M384" s="14" t="n">
        <v>1</v>
      </c>
      <c r="N384" s="15" t="n">
        <v>46249</v>
      </c>
      <c r="O384" s="14" t="n">
        <v>1</v>
      </c>
      <c r="P384" s="14" t="s">
        <v>1569</v>
      </c>
      <c r="Q384" s="16" t="n">
        <v>22800</v>
      </c>
      <c r="R384" s="14" t="s">
        <v>89</v>
      </c>
      <c r="S384" s="16" t="n">
        <f aca="false">IF(Q384="","",IF(R384="EUR",ROUND(Q384*Параметры!$B$3,0),Q384))</f>
        <v>22800</v>
      </c>
      <c r="T384" s="14" t="s">
        <v>15</v>
      </c>
      <c r="U384" s="14" t="s">
        <v>1109</v>
      </c>
      <c r="V384" s="15" t="n">
        <v>46252</v>
      </c>
      <c r="W384" s="14" t="n">
        <f aca="false">IF(T384="Оплачено",1,0)</f>
        <v>1</v>
      </c>
      <c r="X384" s="14" t="n">
        <f aca="false">IF(OR(T384="Не дозвонились",Y384=0),0,1)</f>
        <v>0</v>
      </c>
      <c r="Y384" s="14" t="n">
        <v>0</v>
      </c>
      <c r="Z384" s="14" t="s">
        <v>1572</v>
      </c>
      <c r="AA384" s="14" t="s">
        <v>1110</v>
      </c>
      <c r="AB384" s="14" t="s">
        <v>124</v>
      </c>
    </row>
    <row r="385" customFormat="false" ht="15" hidden="false" customHeight="false" outlineLevel="0" collapsed="false">
      <c r="A385" s="6" t="n">
        <v>384</v>
      </c>
      <c r="B385" s="6" t="s">
        <v>28</v>
      </c>
      <c r="C385" s="6" t="s">
        <v>1573</v>
      </c>
      <c r="D385" s="13" t="n">
        <v>46247</v>
      </c>
      <c r="E385" s="6" t="n">
        <f aca="false">MONTH(D385)</f>
        <v>8</v>
      </c>
      <c r="F385" s="6" t="s">
        <v>1574</v>
      </c>
      <c r="G385" s="6" t="s">
        <v>1575</v>
      </c>
      <c r="H385" s="6" t="s">
        <v>324</v>
      </c>
      <c r="I385" s="6" t="s">
        <v>35</v>
      </c>
      <c r="J385" s="6" t="s">
        <v>35</v>
      </c>
      <c r="K385" s="6" t="s">
        <v>287</v>
      </c>
      <c r="L385" s="13" t="n">
        <v>46253</v>
      </c>
      <c r="M385" s="6" t="n">
        <v>1</v>
      </c>
      <c r="N385" s="13" t="n">
        <v>46254</v>
      </c>
      <c r="O385" s="6" t="n">
        <v>1</v>
      </c>
      <c r="P385" s="6" t="s">
        <v>1576</v>
      </c>
      <c r="Q385" s="8" t="n">
        <v>11900</v>
      </c>
      <c r="R385" s="6" t="s">
        <v>89</v>
      </c>
      <c r="S385" s="8" t="n">
        <f aca="false">IF(Q385="","",IF(R385="EUR",ROUND(Q385*Параметры!$B$3,0),Q385))</f>
        <v>11900</v>
      </c>
      <c r="T385" s="6" t="s">
        <v>71</v>
      </c>
      <c r="U385" s="6" t="s">
        <v>71</v>
      </c>
      <c r="V385" s="13"/>
      <c r="W385" s="6" t="n">
        <f aca="false">IF(T385="Оплачено",1,0)</f>
        <v>0</v>
      </c>
      <c r="X385" s="6" t="n">
        <f aca="false">IF(OR(T385="Не дозвонились",Y385=0),0,1)</f>
        <v>1</v>
      </c>
      <c r="Y385" s="6" t="n">
        <v>1</v>
      </c>
      <c r="Z385" s="6"/>
      <c r="AA385" s="6"/>
      <c r="AB385" s="6" t="s">
        <v>414</v>
      </c>
    </row>
    <row r="386" customFormat="false" ht="15" hidden="false" customHeight="false" outlineLevel="0" collapsed="false">
      <c r="A386" s="6" t="n">
        <v>385</v>
      </c>
      <c r="B386" s="6" t="s">
        <v>28</v>
      </c>
      <c r="C386" s="6" t="s">
        <v>1577</v>
      </c>
      <c r="D386" s="13" t="n">
        <v>46247</v>
      </c>
      <c r="E386" s="6" t="n">
        <f aca="false">MONTH(D386)</f>
        <v>8</v>
      </c>
      <c r="F386" s="6" t="s">
        <v>1578</v>
      </c>
      <c r="G386" s="6" t="s">
        <v>1579</v>
      </c>
      <c r="H386" s="6" t="s">
        <v>96</v>
      </c>
      <c r="I386" s="6" t="s">
        <v>35</v>
      </c>
      <c r="J386" s="6" t="s">
        <v>35</v>
      </c>
      <c r="K386" s="6" t="s">
        <v>162</v>
      </c>
      <c r="L386" s="13" t="n">
        <v>46250</v>
      </c>
      <c r="M386" s="6" t="n">
        <v>1</v>
      </c>
      <c r="N386" s="13" t="n">
        <v>46251</v>
      </c>
      <c r="O386" s="6" t="n">
        <v>1</v>
      </c>
      <c r="P386" s="6" t="s">
        <v>1580</v>
      </c>
      <c r="Q386" s="8" t="n">
        <v>38200</v>
      </c>
      <c r="R386" s="6" t="s">
        <v>89</v>
      </c>
      <c r="S386" s="8" t="n">
        <f aca="false">IF(Q386="","",IF(R386="EUR",ROUND(Q386*Параметры!$B$3,0),Q386))</f>
        <v>38200</v>
      </c>
      <c r="T386" s="6" t="s">
        <v>15</v>
      </c>
      <c r="U386" s="6" t="s">
        <v>15</v>
      </c>
      <c r="V386" s="13" t="n">
        <v>46260</v>
      </c>
      <c r="W386" s="6" t="n">
        <f aca="false">IF(T386="Оплачено",1,0)</f>
        <v>1</v>
      </c>
      <c r="X386" s="6" t="n">
        <f aca="false">IF(OR(T386="Не дозвонились",Y386=0),0,1)</f>
        <v>1</v>
      </c>
      <c r="Y386" s="6" t="n">
        <v>1</v>
      </c>
      <c r="Z386" s="6"/>
      <c r="AA386" s="6"/>
      <c r="AB386" s="6"/>
    </row>
    <row r="387" customFormat="false" ht="15" hidden="false" customHeight="false" outlineLevel="0" collapsed="false">
      <c r="A387" s="6" t="n">
        <v>386</v>
      </c>
      <c r="B387" s="6" t="s">
        <v>28</v>
      </c>
      <c r="C387" s="6" t="s">
        <v>1581</v>
      </c>
      <c r="D387" s="13" t="n">
        <v>46247</v>
      </c>
      <c r="E387" s="6" t="n">
        <f aca="false">MONTH(D387)</f>
        <v>8</v>
      </c>
      <c r="F387" s="6" t="s">
        <v>1582</v>
      </c>
      <c r="G387" s="6" t="s">
        <v>1583</v>
      </c>
      <c r="H387" s="6" t="s">
        <v>103</v>
      </c>
      <c r="I387" s="6" t="s">
        <v>36</v>
      </c>
      <c r="J387" s="6" t="s">
        <v>36</v>
      </c>
      <c r="K387" s="6" t="s">
        <v>98</v>
      </c>
      <c r="L387" s="13" t="n">
        <v>46253</v>
      </c>
      <c r="M387" s="6" t="n">
        <v>1</v>
      </c>
      <c r="N387" s="13" t="n">
        <v>46254</v>
      </c>
      <c r="O387" s="6" t="n">
        <v>1</v>
      </c>
      <c r="P387" s="6" t="s">
        <v>1584</v>
      </c>
      <c r="Q387" s="8" t="n">
        <v>138400</v>
      </c>
      <c r="R387" s="6" t="s">
        <v>89</v>
      </c>
      <c r="S387" s="8" t="n">
        <f aca="false">IF(Q387="","",IF(R387="EUR",ROUND(Q387*Параметры!$B$3,0),Q387))</f>
        <v>138400</v>
      </c>
      <c r="T387" s="6" t="s">
        <v>15</v>
      </c>
      <c r="U387" s="6" t="s">
        <v>15</v>
      </c>
      <c r="V387" s="13" t="n">
        <v>46262</v>
      </c>
      <c r="W387" s="6" t="n">
        <f aca="false">IF(T387="Оплачено",1,0)</f>
        <v>1</v>
      </c>
      <c r="X387" s="6" t="n">
        <f aca="false">IF(OR(T387="Не дозвонились",Y387=0),0,1)</f>
        <v>1</v>
      </c>
      <c r="Y387" s="6" t="n">
        <v>1</v>
      </c>
      <c r="Z387" s="6"/>
      <c r="AA387" s="6"/>
      <c r="AB387" s="6" t="s">
        <v>92</v>
      </c>
    </row>
    <row r="388" customFormat="false" ht="15" hidden="false" customHeight="false" outlineLevel="0" collapsed="false">
      <c r="A388" s="14" t="n">
        <v>387</v>
      </c>
      <c r="B388" s="14" t="s">
        <v>29</v>
      </c>
      <c r="C388" s="14" t="s">
        <v>1585</v>
      </c>
      <c r="D388" s="15" t="n">
        <v>46247</v>
      </c>
      <c r="E388" s="14" t="n">
        <f aca="false">MONTH(D388)</f>
        <v>8</v>
      </c>
      <c r="F388" s="14" t="s">
        <v>1586</v>
      </c>
      <c r="G388" s="14" t="s">
        <v>1551</v>
      </c>
      <c r="H388" s="14" t="s">
        <v>405</v>
      </c>
      <c r="I388" s="14" t="s">
        <v>35</v>
      </c>
      <c r="J388" s="14" t="s">
        <v>142</v>
      </c>
      <c r="K388" s="14" t="s">
        <v>299</v>
      </c>
      <c r="L388" s="15"/>
      <c r="M388" s="14" t="n">
        <v>0</v>
      </c>
      <c r="N388" s="15"/>
      <c r="O388" s="14" t="n">
        <v>0</v>
      </c>
      <c r="P388" s="14"/>
      <c r="Q388" s="16"/>
      <c r="R388" s="14"/>
      <c r="S388" s="16" t="str">
        <f aca="false">IF(Q388="","",IF(R388="EUR",ROUND(Q388*Параметры!$B$3,0),Q388))</f>
        <v/>
      </c>
      <c r="T388" s="14" t="s">
        <v>497</v>
      </c>
      <c r="U388" s="14" t="s">
        <v>498</v>
      </c>
      <c r="V388" s="15"/>
      <c r="W388" s="14" t="n">
        <f aca="false">IF(T388="Оплачено",1,0)</f>
        <v>0</v>
      </c>
      <c r="X388" s="14" t="n">
        <f aca="false">IF(OR(T388="Не дозвонились",Y388=0),0,1)</f>
        <v>0</v>
      </c>
      <c r="Y388" s="14" t="n">
        <v>0</v>
      </c>
      <c r="Z388" s="14" t="s">
        <v>1587</v>
      </c>
      <c r="AA388" s="14"/>
      <c r="AB388" s="14" t="s">
        <v>737</v>
      </c>
    </row>
    <row r="389" customFormat="false" ht="15" hidden="false" customHeight="false" outlineLevel="0" collapsed="false">
      <c r="A389" s="14" t="n">
        <v>388</v>
      </c>
      <c r="B389" s="14" t="s">
        <v>30</v>
      </c>
      <c r="C389" s="14" t="s">
        <v>1588</v>
      </c>
      <c r="D389" s="15" t="n">
        <v>46247</v>
      </c>
      <c r="E389" s="14" t="n">
        <f aca="false">MONTH(D389)</f>
        <v>8</v>
      </c>
      <c r="F389" s="14" t="s">
        <v>1589</v>
      </c>
      <c r="G389" s="14" t="s">
        <v>1546</v>
      </c>
      <c r="H389" s="14" t="s">
        <v>147</v>
      </c>
      <c r="I389" s="14" t="s">
        <v>34</v>
      </c>
      <c r="J389" s="14" t="s">
        <v>273</v>
      </c>
      <c r="K389" s="14" t="s">
        <v>536</v>
      </c>
      <c r="L389" s="15"/>
      <c r="M389" s="14" t="n">
        <v>0</v>
      </c>
      <c r="N389" s="15"/>
      <c r="O389" s="14" t="n">
        <v>0</v>
      </c>
      <c r="P389" s="14"/>
      <c r="Q389" s="16"/>
      <c r="R389" s="14"/>
      <c r="S389" s="16" t="str">
        <f aca="false">IF(Q389="","",IF(R389="EUR",ROUND(Q389*Параметры!$B$3,0),Q389))</f>
        <v/>
      </c>
      <c r="T389" s="14" t="s">
        <v>427</v>
      </c>
      <c r="U389" s="14" t="s">
        <v>1040</v>
      </c>
      <c r="V389" s="15"/>
      <c r="W389" s="14" t="n">
        <f aca="false">IF(T389="Оплачено",1,0)</f>
        <v>0</v>
      </c>
      <c r="X389" s="14" t="n">
        <f aca="false">IF(OR(T389="Не дозвонились",Y389=0),0,1)</f>
        <v>0</v>
      </c>
      <c r="Y389" s="14" t="n">
        <v>0</v>
      </c>
      <c r="Z389" s="14" t="s">
        <v>1590</v>
      </c>
      <c r="AA389" s="14"/>
      <c r="AB389" s="14"/>
    </row>
    <row r="390" customFormat="false" ht="15" hidden="false" customHeight="false" outlineLevel="0" collapsed="false">
      <c r="A390" s="6" t="n">
        <v>389</v>
      </c>
      <c r="B390" s="6" t="s">
        <v>28</v>
      </c>
      <c r="C390" s="6" t="s">
        <v>1591</v>
      </c>
      <c r="D390" s="13" t="n">
        <v>46248</v>
      </c>
      <c r="E390" s="6" t="n">
        <f aca="false">MONTH(D390)</f>
        <v>8</v>
      </c>
      <c r="F390" s="6" t="s">
        <v>1592</v>
      </c>
      <c r="G390" s="6" t="s">
        <v>1593</v>
      </c>
      <c r="H390" s="6" t="s">
        <v>324</v>
      </c>
      <c r="I390" s="6" t="s">
        <v>34</v>
      </c>
      <c r="J390" s="6" t="s">
        <v>34</v>
      </c>
      <c r="K390" s="6" t="s">
        <v>162</v>
      </c>
      <c r="L390" s="13"/>
      <c r="M390" s="6" t="n">
        <v>0</v>
      </c>
      <c r="N390" s="13"/>
      <c r="O390" s="6" t="n">
        <v>0</v>
      </c>
      <c r="P390" s="6"/>
      <c r="Q390" s="8"/>
      <c r="R390" s="6"/>
      <c r="S390" s="8" t="str">
        <f aca="false">IF(Q390="","",IF(R390="EUR",ROUND(Q390*Параметры!$B$3,0),Q390))</f>
        <v/>
      </c>
      <c r="T390" s="6" t="s">
        <v>80</v>
      </c>
      <c r="U390" s="6" t="s">
        <v>163</v>
      </c>
      <c r="V390" s="13"/>
      <c r="W390" s="6" t="n">
        <f aca="false">IF(T390="Оплачено",1,0)</f>
        <v>0</v>
      </c>
      <c r="X390" s="6" t="n">
        <f aca="false">IF(OR(T390="Не дозвонились",Y390=0),0,1)</f>
        <v>0</v>
      </c>
      <c r="Y390" s="6" t="n">
        <v>1</v>
      </c>
      <c r="Z390" s="6"/>
      <c r="AA390" s="6"/>
      <c r="AB390" s="6"/>
    </row>
    <row r="391" customFormat="false" ht="15" hidden="false" customHeight="false" outlineLevel="0" collapsed="false">
      <c r="A391" s="6" t="n">
        <v>390</v>
      </c>
      <c r="B391" s="6" t="s">
        <v>28</v>
      </c>
      <c r="C391" s="6" t="s">
        <v>1594</v>
      </c>
      <c r="D391" s="13" t="n">
        <v>46248</v>
      </c>
      <c r="E391" s="6" t="n">
        <f aca="false">MONTH(D391)</f>
        <v>8</v>
      </c>
      <c r="F391" s="6" t="s">
        <v>1595</v>
      </c>
      <c r="G391" s="6" t="s">
        <v>1596</v>
      </c>
      <c r="H391" s="6" t="s">
        <v>103</v>
      </c>
      <c r="I391" s="6" t="s">
        <v>34</v>
      </c>
      <c r="J391" s="6" t="s">
        <v>34</v>
      </c>
      <c r="K391" s="6" t="s">
        <v>156</v>
      </c>
      <c r="L391" s="13" t="n">
        <v>46249</v>
      </c>
      <c r="M391" s="6" t="n">
        <v>1</v>
      </c>
      <c r="N391" s="13" t="n">
        <v>46250</v>
      </c>
      <c r="O391" s="6" t="n">
        <v>1</v>
      </c>
      <c r="P391" s="6" t="s">
        <v>1597</v>
      </c>
      <c r="Q391" s="8" t="n">
        <v>29800</v>
      </c>
      <c r="R391" s="6" t="s">
        <v>89</v>
      </c>
      <c r="S391" s="8" t="n">
        <f aca="false">IF(Q391="","",IF(R391="EUR",ROUND(Q391*Параметры!$B$3,0),Q391))</f>
        <v>29800</v>
      </c>
      <c r="T391" s="6" t="s">
        <v>71</v>
      </c>
      <c r="U391" s="6" t="s">
        <v>71</v>
      </c>
      <c r="V391" s="13"/>
      <c r="W391" s="6" t="n">
        <f aca="false">IF(T391="Оплачено",1,0)</f>
        <v>0</v>
      </c>
      <c r="X391" s="6" t="n">
        <f aca="false">IF(OR(T391="Не дозвонились",Y391=0),0,1)</f>
        <v>1</v>
      </c>
      <c r="Y391" s="6" t="n">
        <v>1</v>
      </c>
      <c r="Z391" s="6"/>
      <c r="AA391" s="6"/>
      <c r="AB391" s="6" t="s">
        <v>258</v>
      </c>
    </row>
    <row r="392" customFormat="false" ht="15" hidden="false" customHeight="false" outlineLevel="0" collapsed="false">
      <c r="A392" s="6" t="n">
        <v>391</v>
      </c>
      <c r="B392" s="6" t="s">
        <v>29</v>
      </c>
      <c r="C392" s="6" t="s">
        <v>1598</v>
      </c>
      <c r="D392" s="13" t="n">
        <v>46248</v>
      </c>
      <c r="E392" s="6" t="n">
        <f aca="false">MONTH(D392)</f>
        <v>8</v>
      </c>
      <c r="F392" s="6" t="s">
        <v>1599</v>
      </c>
      <c r="G392" s="6" t="s">
        <v>1600</v>
      </c>
      <c r="H392" s="6" t="s">
        <v>266</v>
      </c>
      <c r="I392" s="6" t="s">
        <v>39</v>
      </c>
      <c r="J392" s="6"/>
      <c r="K392" s="6" t="s">
        <v>143</v>
      </c>
      <c r="L392" s="13"/>
      <c r="M392" s="6" t="n">
        <v>0</v>
      </c>
      <c r="N392" s="13"/>
      <c r="O392" s="6" t="n">
        <v>0</v>
      </c>
      <c r="P392" s="6"/>
      <c r="Q392" s="8"/>
      <c r="R392" s="6"/>
      <c r="S392" s="8" t="str">
        <f aca="false">IF(Q392="","",IF(R392="EUR",ROUND(Q392*Параметры!$B$3,0),Q392))</f>
        <v/>
      </c>
      <c r="T392" s="6" t="s">
        <v>71</v>
      </c>
      <c r="U392" s="6" t="s">
        <v>72</v>
      </c>
      <c r="V392" s="13"/>
      <c r="W392" s="6" t="n">
        <f aca="false">IF(T392="Оплачено",1,0)</f>
        <v>0</v>
      </c>
      <c r="X392" s="6" t="n">
        <f aca="false">IF(OR(T392="Не дозвонились",Y392=0),0,1)</f>
        <v>1</v>
      </c>
      <c r="Y392" s="6" t="n">
        <v>1</v>
      </c>
      <c r="Z392" s="6"/>
      <c r="AA392" s="6"/>
      <c r="AB392" s="6" t="s">
        <v>282</v>
      </c>
    </row>
    <row r="393" customFormat="false" ht="15" hidden="false" customHeight="false" outlineLevel="0" collapsed="false">
      <c r="A393" s="6" t="n">
        <v>392</v>
      </c>
      <c r="B393" s="6" t="s">
        <v>29</v>
      </c>
      <c r="C393" s="6" t="s">
        <v>1601</v>
      </c>
      <c r="D393" s="13" t="n">
        <v>46248</v>
      </c>
      <c r="E393" s="6" t="n">
        <f aca="false">MONTH(D393)</f>
        <v>8</v>
      </c>
      <c r="F393" s="6" t="s">
        <v>1602</v>
      </c>
      <c r="G393" s="6" t="s">
        <v>1603</v>
      </c>
      <c r="H393" s="6" t="s">
        <v>1068</v>
      </c>
      <c r="I393" s="6" t="s">
        <v>36</v>
      </c>
      <c r="J393" s="6" t="s">
        <v>409</v>
      </c>
      <c r="K393" s="6" t="s">
        <v>267</v>
      </c>
      <c r="L393" s="13"/>
      <c r="M393" s="6" t="n">
        <v>0</v>
      </c>
      <c r="N393" s="13"/>
      <c r="O393" s="6" t="n">
        <v>0</v>
      </c>
      <c r="P393" s="6"/>
      <c r="Q393" s="8"/>
      <c r="R393" s="6"/>
      <c r="S393" s="8" t="str">
        <f aca="false">IF(Q393="","",IF(R393="EUR",ROUND(Q393*Параметры!$B$3,0),Q393))</f>
        <v/>
      </c>
      <c r="T393" s="6" t="s">
        <v>71</v>
      </c>
      <c r="U393" s="6" t="s">
        <v>72</v>
      </c>
      <c r="V393" s="13"/>
      <c r="W393" s="6" t="n">
        <f aca="false">IF(T393="Оплачено",1,0)</f>
        <v>0</v>
      </c>
      <c r="X393" s="6" t="n">
        <f aca="false">IF(OR(T393="Не дозвонились",Y393=0),0,1)</f>
        <v>1</v>
      </c>
      <c r="Y393" s="6" t="n">
        <v>1</v>
      </c>
      <c r="Z393" s="6"/>
      <c r="AA393" s="6"/>
      <c r="AB393" s="6" t="s">
        <v>209</v>
      </c>
    </row>
    <row r="394" customFormat="false" ht="15" hidden="false" customHeight="false" outlineLevel="0" collapsed="false">
      <c r="A394" s="6" t="n">
        <v>393</v>
      </c>
      <c r="B394" s="6" t="s">
        <v>30</v>
      </c>
      <c r="C394" s="6" t="s">
        <v>1604</v>
      </c>
      <c r="D394" s="13" t="n">
        <v>46248</v>
      </c>
      <c r="E394" s="6" t="n">
        <f aca="false">MONTH(D394)</f>
        <v>8</v>
      </c>
      <c r="F394" s="6" t="s">
        <v>1605</v>
      </c>
      <c r="G394" s="6" t="s">
        <v>1606</v>
      </c>
      <c r="H394" s="6" t="s">
        <v>77</v>
      </c>
      <c r="I394" s="6" t="s">
        <v>34</v>
      </c>
      <c r="J394" s="6" t="s">
        <v>383</v>
      </c>
      <c r="K394" s="6" t="s">
        <v>133</v>
      </c>
      <c r="L394" s="13"/>
      <c r="M394" s="6" t="n">
        <v>0</v>
      </c>
      <c r="N394" s="13"/>
      <c r="O394" s="6" t="n">
        <v>0</v>
      </c>
      <c r="P394" s="6"/>
      <c r="Q394" s="8"/>
      <c r="R394" s="6"/>
      <c r="S394" s="8" t="str">
        <f aca="false">IF(Q394="","",IF(R394="EUR",ROUND(Q394*Параметры!$B$3,0),Q394))</f>
        <v/>
      </c>
      <c r="T394" s="6" t="s">
        <v>71</v>
      </c>
      <c r="U394" s="6" t="s">
        <v>225</v>
      </c>
      <c r="V394" s="13"/>
      <c r="W394" s="6" t="n">
        <f aca="false">IF(T394="Оплачено",1,0)</f>
        <v>0</v>
      </c>
      <c r="X394" s="6" t="n">
        <f aca="false">IF(OR(T394="Не дозвонились",Y394=0),0,1)</f>
        <v>1</v>
      </c>
      <c r="Y394" s="6" t="n">
        <v>1</v>
      </c>
      <c r="Z394" s="6"/>
      <c r="AA394" s="6"/>
      <c r="AB394" s="6"/>
    </row>
    <row r="395" customFormat="false" ht="15" hidden="false" customHeight="false" outlineLevel="0" collapsed="false">
      <c r="A395" s="6" t="n">
        <v>394</v>
      </c>
      <c r="B395" s="6" t="s">
        <v>30</v>
      </c>
      <c r="C395" s="6" t="s">
        <v>1607</v>
      </c>
      <c r="D395" s="13" t="n">
        <v>46248</v>
      </c>
      <c r="E395" s="6" t="n">
        <f aca="false">MONTH(D395)</f>
        <v>8</v>
      </c>
      <c r="F395" s="6" t="s">
        <v>596</v>
      </c>
      <c r="G395" s="6" t="s">
        <v>1608</v>
      </c>
      <c r="H395" s="6" t="s">
        <v>665</v>
      </c>
      <c r="I395" s="6" t="s">
        <v>35</v>
      </c>
      <c r="J395" s="6" t="s">
        <v>276</v>
      </c>
      <c r="K395" s="6" t="s">
        <v>881</v>
      </c>
      <c r="L395" s="13" t="n">
        <v>46250</v>
      </c>
      <c r="M395" s="6" t="n">
        <v>1</v>
      </c>
      <c r="N395" s="13" t="n">
        <v>46259</v>
      </c>
      <c r="O395" s="6" t="n">
        <v>1</v>
      </c>
      <c r="P395" s="6" t="s">
        <v>1609</v>
      </c>
      <c r="Q395" s="8" t="n">
        <v>63400</v>
      </c>
      <c r="R395" s="6" t="s">
        <v>89</v>
      </c>
      <c r="S395" s="8" t="n">
        <f aca="false">IF(Q395="","",IF(R395="EUR",ROUND(Q395*Параметры!$B$3,0),Q395))</f>
        <v>63400</v>
      </c>
      <c r="T395" s="6" t="s">
        <v>90</v>
      </c>
      <c r="U395" s="6" t="s">
        <v>434</v>
      </c>
      <c r="V395" s="13"/>
      <c r="W395" s="6" t="n">
        <f aca="false">IF(T395="Оплачено",1,0)</f>
        <v>0</v>
      </c>
      <c r="X395" s="6" t="n">
        <f aca="false">IF(OR(T395="Не дозвонились",Y395=0),0,1)</f>
        <v>1</v>
      </c>
      <c r="Y395" s="6" t="n">
        <v>1</v>
      </c>
      <c r="Z395" s="6"/>
      <c r="AA395" s="6" t="s">
        <v>1610</v>
      </c>
      <c r="AB395" s="6"/>
    </row>
    <row r="396" customFormat="false" ht="15" hidden="false" customHeight="false" outlineLevel="0" collapsed="false">
      <c r="A396" s="6" t="n">
        <v>395</v>
      </c>
      <c r="B396" s="6" t="s">
        <v>30</v>
      </c>
      <c r="C396" s="6" t="s">
        <v>1611</v>
      </c>
      <c r="D396" s="13" t="n">
        <v>46248</v>
      </c>
      <c r="E396" s="6" t="n">
        <f aca="false">MONTH(D396)</f>
        <v>8</v>
      </c>
      <c r="F396" s="6" t="s">
        <v>1612</v>
      </c>
      <c r="G396" s="6" t="s">
        <v>1613</v>
      </c>
      <c r="H396" s="6" t="s">
        <v>155</v>
      </c>
      <c r="I396" s="6" t="s">
        <v>38</v>
      </c>
      <c r="J396" s="6" t="s">
        <v>78</v>
      </c>
      <c r="K396" s="6" t="s">
        <v>666</v>
      </c>
      <c r="L396" s="13"/>
      <c r="M396" s="6" t="n">
        <v>0</v>
      </c>
      <c r="N396" s="13"/>
      <c r="O396" s="6" t="n">
        <v>0</v>
      </c>
      <c r="P396" s="6"/>
      <c r="Q396" s="8"/>
      <c r="R396" s="6"/>
      <c r="S396" s="8" t="str">
        <f aca="false">IF(Q396="","",IF(R396="EUR",ROUND(Q396*Параметры!$B$3,0),Q396))</f>
        <v/>
      </c>
      <c r="T396" s="6" t="s">
        <v>80</v>
      </c>
      <c r="U396" s="6" t="s">
        <v>81</v>
      </c>
      <c r="V396" s="13"/>
      <c r="W396" s="6" t="n">
        <f aca="false">IF(T396="Оплачено",1,0)</f>
        <v>0</v>
      </c>
      <c r="X396" s="6" t="n">
        <f aca="false">IF(OR(T396="Не дозвонились",Y396=0),0,1)</f>
        <v>0</v>
      </c>
      <c r="Y396" s="6" t="n">
        <v>1</v>
      </c>
      <c r="Z396" s="6"/>
      <c r="AA396" s="6" t="s">
        <v>1614</v>
      </c>
      <c r="AB396" s="6"/>
    </row>
    <row r="397" customFormat="false" ht="15" hidden="false" customHeight="false" outlineLevel="0" collapsed="false">
      <c r="A397" s="6" t="n">
        <v>396</v>
      </c>
      <c r="B397" s="6" t="s">
        <v>28</v>
      </c>
      <c r="C397" s="6" t="s">
        <v>1615</v>
      </c>
      <c r="D397" s="13" t="n">
        <v>46249</v>
      </c>
      <c r="E397" s="6" t="n">
        <f aca="false">MONTH(D397)</f>
        <v>8</v>
      </c>
      <c r="F397" s="6" t="s">
        <v>1616</v>
      </c>
      <c r="G397" s="6" t="s">
        <v>1617</v>
      </c>
      <c r="H397" s="6" t="s">
        <v>197</v>
      </c>
      <c r="I397" s="6" t="s">
        <v>35</v>
      </c>
      <c r="J397" s="6" t="s">
        <v>35</v>
      </c>
      <c r="K397" s="6" t="s">
        <v>162</v>
      </c>
      <c r="L397" s="13"/>
      <c r="M397" s="6" t="n">
        <v>0</v>
      </c>
      <c r="N397" s="13"/>
      <c r="O397" s="6" t="n">
        <v>0</v>
      </c>
      <c r="P397" s="6"/>
      <c r="Q397" s="8"/>
      <c r="R397" s="6"/>
      <c r="S397" s="8" t="str">
        <f aca="false">IF(Q397="","",IF(R397="EUR",ROUND(Q397*Параметры!$B$3,0),Q397))</f>
        <v/>
      </c>
      <c r="T397" s="6" t="s">
        <v>80</v>
      </c>
      <c r="U397" s="6" t="s">
        <v>163</v>
      </c>
      <c r="V397" s="13"/>
      <c r="W397" s="6" t="n">
        <f aca="false">IF(T397="Оплачено",1,0)</f>
        <v>0</v>
      </c>
      <c r="X397" s="6" t="n">
        <f aca="false">IF(OR(T397="Не дозвонились",Y397=0),0,1)</f>
        <v>0</v>
      </c>
      <c r="Y397" s="6" t="n">
        <v>1</v>
      </c>
      <c r="Z397" s="6"/>
      <c r="AA397" s="6"/>
      <c r="AB397" s="6"/>
    </row>
    <row r="398" customFormat="false" ht="15" hidden="false" customHeight="false" outlineLevel="0" collapsed="false">
      <c r="A398" s="6" t="n">
        <v>397</v>
      </c>
      <c r="B398" s="6" t="s">
        <v>28</v>
      </c>
      <c r="C398" s="6" t="s">
        <v>1618</v>
      </c>
      <c r="D398" s="13" t="n">
        <v>46249</v>
      </c>
      <c r="E398" s="6" t="n">
        <f aca="false">MONTH(D398)</f>
        <v>8</v>
      </c>
      <c r="F398" s="6" t="s">
        <v>1619</v>
      </c>
      <c r="G398" s="6" t="s">
        <v>1620</v>
      </c>
      <c r="H398" s="6" t="s">
        <v>850</v>
      </c>
      <c r="I398" s="6" t="s">
        <v>34</v>
      </c>
      <c r="J398" s="6" t="s">
        <v>34</v>
      </c>
      <c r="K398" s="6" t="s">
        <v>162</v>
      </c>
      <c r="L398" s="13"/>
      <c r="M398" s="6" t="n">
        <v>0</v>
      </c>
      <c r="N398" s="13"/>
      <c r="O398" s="6" t="n">
        <v>0</v>
      </c>
      <c r="P398" s="6"/>
      <c r="Q398" s="8"/>
      <c r="R398" s="6"/>
      <c r="S398" s="8" t="str">
        <f aca="false">IF(Q398="","",IF(R398="EUR",ROUND(Q398*Параметры!$B$3,0),Q398))</f>
        <v/>
      </c>
      <c r="T398" s="6" t="s">
        <v>80</v>
      </c>
      <c r="U398" s="6" t="s">
        <v>163</v>
      </c>
      <c r="V398" s="13"/>
      <c r="W398" s="6" t="n">
        <f aca="false">IF(T398="Оплачено",1,0)</f>
        <v>0</v>
      </c>
      <c r="X398" s="6" t="n">
        <f aca="false">IF(OR(T398="Не дозвонились",Y398=0),0,1)</f>
        <v>0</v>
      </c>
      <c r="Y398" s="6" t="n">
        <v>1</v>
      </c>
      <c r="Z398" s="6"/>
      <c r="AA398" s="6"/>
      <c r="AB398" s="6"/>
    </row>
    <row r="399" customFormat="false" ht="15" hidden="false" customHeight="false" outlineLevel="0" collapsed="false">
      <c r="A399" s="14" t="n">
        <v>398</v>
      </c>
      <c r="B399" s="14" t="s">
        <v>28</v>
      </c>
      <c r="C399" s="14" t="s">
        <v>1621</v>
      </c>
      <c r="D399" s="15" t="n">
        <v>46249</v>
      </c>
      <c r="E399" s="14" t="n">
        <f aca="false">MONTH(D399)</f>
        <v>8</v>
      </c>
      <c r="F399" s="14" t="s">
        <v>1622</v>
      </c>
      <c r="G399" s="14" t="s">
        <v>1608</v>
      </c>
      <c r="H399" s="14" t="s">
        <v>155</v>
      </c>
      <c r="I399" s="14" t="s">
        <v>35</v>
      </c>
      <c r="J399" s="14" t="s">
        <v>35</v>
      </c>
      <c r="K399" s="14" t="s">
        <v>314</v>
      </c>
      <c r="L399" s="15"/>
      <c r="M399" s="14" t="n">
        <v>0</v>
      </c>
      <c r="N399" s="15"/>
      <c r="O399" s="14" t="n">
        <v>0</v>
      </c>
      <c r="P399" s="14"/>
      <c r="Q399" s="16"/>
      <c r="R399" s="14"/>
      <c r="S399" s="16" t="str">
        <f aca="false">IF(Q399="","",IF(R399="EUR",ROUND(Q399*Параметры!$B$3,0),Q399))</f>
        <v/>
      </c>
      <c r="T399" s="14" t="s">
        <v>80</v>
      </c>
      <c r="U399" s="14" t="s">
        <v>163</v>
      </c>
      <c r="V399" s="15"/>
      <c r="W399" s="14" t="n">
        <f aca="false">IF(T399="Оплачено",1,0)</f>
        <v>0</v>
      </c>
      <c r="X399" s="14" t="n">
        <f aca="false">IF(OR(T399="Не дозвонились",Y399=0),0,1)</f>
        <v>0</v>
      </c>
      <c r="Y399" s="14" t="n">
        <v>0</v>
      </c>
      <c r="Z399" s="14" t="s">
        <v>1623</v>
      </c>
      <c r="AA399" s="14"/>
      <c r="AB399" s="14"/>
    </row>
    <row r="400" customFormat="false" ht="15" hidden="false" customHeight="false" outlineLevel="0" collapsed="false">
      <c r="A400" s="6" t="n">
        <v>399</v>
      </c>
      <c r="B400" s="6" t="s">
        <v>29</v>
      </c>
      <c r="C400" s="6" t="s">
        <v>1624</v>
      </c>
      <c r="D400" s="13" t="n">
        <v>46249</v>
      </c>
      <c r="E400" s="6" t="n">
        <f aca="false">MONTH(D400)</f>
        <v>8</v>
      </c>
      <c r="F400" s="6" t="s">
        <v>1625</v>
      </c>
      <c r="G400" s="6" t="s">
        <v>1626</v>
      </c>
      <c r="H400" s="6" t="s">
        <v>1068</v>
      </c>
      <c r="I400" s="6" t="s">
        <v>34</v>
      </c>
      <c r="J400" s="6" t="s">
        <v>167</v>
      </c>
      <c r="K400" s="6" t="s">
        <v>70</v>
      </c>
      <c r="L400" s="13"/>
      <c r="M400" s="6" t="n">
        <v>0</v>
      </c>
      <c r="N400" s="13"/>
      <c r="O400" s="6" t="n">
        <v>0</v>
      </c>
      <c r="P400" s="6"/>
      <c r="Q400" s="8"/>
      <c r="R400" s="6"/>
      <c r="S400" s="8" t="str">
        <f aca="false">IF(Q400="","",IF(R400="EUR",ROUND(Q400*Параметры!$B$3,0),Q400))</f>
        <v/>
      </c>
      <c r="T400" s="6" t="s">
        <v>71</v>
      </c>
      <c r="U400" s="6" t="s">
        <v>301</v>
      </c>
      <c r="V400" s="13"/>
      <c r="W400" s="6" t="n">
        <f aca="false">IF(T400="Оплачено",1,0)</f>
        <v>0</v>
      </c>
      <c r="X400" s="6" t="n">
        <f aca="false">IF(OR(T400="Не дозвонились",Y400=0),0,1)</f>
        <v>1</v>
      </c>
      <c r="Y400" s="6" t="n">
        <v>1</v>
      </c>
      <c r="Z400" s="6"/>
      <c r="AA400" s="6"/>
      <c r="AB400" s="6" t="s">
        <v>180</v>
      </c>
    </row>
    <row r="401" customFormat="false" ht="15" hidden="false" customHeight="false" outlineLevel="0" collapsed="false">
      <c r="A401" s="6" t="n">
        <v>400</v>
      </c>
      <c r="B401" s="6" t="s">
        <v>29</v>
      </c>
      <c r="C401" s="6" t="s">
        <v>1627</v>
      </c>
      <c r="D401" s="13" t="n">
        <v>46249</v>
      </c>
      <c r="E401" s="6" t="n">
        <f aca="false">MONTH(D401)</f>
        <v>8</v>
      </c>
      <c r="F401" s="6" t="s">
        <v>1628</v>
      </c>
      <c r="G401" s="6" t="s">
        <v>1629</v>
      </c>
      <c r="H401" s="6" t="s">
        <v>343</v>
      </c>
      <c r="I401" s="6" t="s">
        <v>36</v>
      </c>
      <c r="J401" s="6" t="s">
        <v>409</v>
      </c>
      <c r="K401" s="6" t="s">
        <v>128</v>
      </c>
      <c r="L401" s="13" t="n">
        <v>46250</v>
      </c>
      <c r="M401" s="6" t="n">
        <v>1</v>
      </c>
      <c r="N401" s="13" t="n">
        <v>46258</v>
      </c>
      <c r="O401" s="6" t="n">
        <v>1</v>
      </c>
      <c r="P401" s="6" t="s">
        <v>1630</v>
      </c>
      <c r="Q401" s="8" t="n">
        <v>28400</v>
      </c>
      <c r="R401" s="6" t="s">
        <v>89</v>
      </c>
      <c r="S401" s="8" t="n">
        <f aca="false">IF(Q401="","",IF(R401="EUR",ROUND(Q401*Параметры!$B$3,0),Q401))</f>
        <v>28400</v>
      </c>
      <c r="T401" s="6" t="s">
        <v>71</v>
      </c>
      <c r="U401" s="6" t="s">
        <v>301</v>
      </c>
      <c r="V401" s="13"/>
      <c r="W401" s="6" t="n">
        <f aca="false">IF(T401="Оплачено",1,0)</f>
        <v>0</v>
      </c>
      <c r="X401" s="6" t="n">
        <f aca="false">IF(OR(T401="Не дозвонились",Y401=0),0,1)</f>
        <v>1</v>
      </c>
      <c r="Y401" s="6" t="n">
        <v>1</v>
      </c>
      <c r="Z401" s="6"/>
      <c r="AA401" s="6"/>
      <c r="AB401" s="6" t="s">
        <v>515</v>
      </c>
    </row>
    <row r="402" customFormat="false" ht="15" hidden="false" customHeight="false" outlineLevel="0" collapsed="false">
      <c r="A402" s="6" t="n">
        <v>401</v>
      </c>
      <c r="B402" s="6" t="s">
        <v>29</v>
      </c>
      <c r="C402" s="6" t="s">
        <v>1631</v>
      </c>
      <c r="D402" s="13" t="n">
        <v>46249</v>
      </c>
      <c r="E402" s="6" t="n">
        <f aca="false">MONTH(D402)</f>
        <v>8</v>
      </c>
      <c r="F402" s="6" t="s">
        <v>1632</v>
      </c>
      <c r="G402" s="6" t="s">
        <v>1633</v>
      </c>
      <c r="H402" s="6" t="s">
        <v>405</v>
      </c>
      <c r="I402" s="6" t="s">
        <v>38</v>
      </c>
      <c r="J402" s="6" t="s">
        <v>38</v>
      </c>
      <c r="K402" s="6" t="s">
        <v>168</v>
      </c>
      <c r="L402" s="13" t="n">
        <v>46255</v>
      </c>
      <c r="M402" s="6" t="n">
        <v>1</v>
      </c>
      <c r="N402" s="13" t="n">
        <v>46255</v>
      </c>
      <c r="O402" s="6" t="n">
        <v>1</v>
      </c>
      <c r="P402" s="6" t="s">
        <v>1634</v>
      </c>
      <c r="Q402" s="8" t="n">
        <v>23000</v>
      </c>
      <c r="R402" s="6" t="s">
        <v>89</v>
      </c>
      <c r="S402" s="8" t="n">
        <f aca="false">IF(Q402="","",IF(R402="EUR",ROUND(Q402*Параметры!$B$3,0),Q402))</f>
        <v>23000</v>
      </c>
      <c r="T402" s="6" t="s">
        <v>90</v>
      </c>
      <c r="U402" s="6" t="s">
        <v>434</v>
      </c>
      <c r="V402" s="13"/>
      <c r="W402" s="6" t="n">
        <f aca="false">IF(T402="Оплачено",1,0)</f>
        <v>0</v>
      </c>
      <c r="X402" s="6" t="n">
        <f aca="false">IF(OR(T402="Не дозвонились",Y402=0),0,1)</f>
        <v>1</v>
      </c>
      <c r="Y402" s="6" t="n">
        <v>1</v>
      </c>
      <c r="Z402" s="6"/>
      <c r="AA402" s="6"/>
      <c r="AB402" s="6"/>
    </row>
    <row r="403" customFormat="false" ht="15" hidden="false" customHeight="false" outlineLevel="0" collapsed="false">
      <c r="A403" s="6" t="n">
        <v>402</v>
      </c>
      <c r="B403" s="6" t="s">
        <v>28</v>
      </c>
      <c r="C403" s="6" t="s">
        <v>1635</v>
      </c>
      <c r="D403" s="13" t="n">
        <v>46250</v>
      </c>
      <c r="E403" s="6" t="n">
        <f aca="false">MONTH(D403)</f>
        <v>8</v>
      </c>
      <c r="F403" s="6" t="s">
        <v>1636</v>
      </c>
      <c r="G403" s="6" t="s">
        <v>1637</v>
      </c>
      <c r="H403" s="6" t="s">
        <v>324</v>
      </c>
      <c r="I403" s="6" t="s">
        <v>39</v>
      </c>
      <c r="J403" s="6"/>
      <c r="K403" s="6" t="s">
        <v>98</v>
      </c>
      <c r="L403" s="13"/>
      <c r="M403" s="6" t="n">
        <v>0</v>
      </c>
      <c r="N403" s="13"/>
      <c r="O403" s="6" t="n">
        <v>0</v>
      </c>
      <c r="P403" s="6"/>
      <c r="Q403" s="8"/>
      <c r="R403" s="6"/>
      <c r="S403" s="8" t="str">
        <f aca="false">IF(Q403="","",IF(R403="EUR",ROUND(Q403*Параметры!$B$3,0),Q403))</f>
        <v/>
      </c>
      <c r="T403" s="6" t="s">
        <v>80</v>
      </c>
      <c r="U403" s="6" t="s">
        <v>163</v>
      </c>
      <c r="V403" s="13"/>
      <c r="W403" s="6" t="n">
        <f aca="false">IF(T403="Оплачено",1,0)</f>
        <v>0</v>
      </c>
      <c r="X403" s="6" t="n">
        <f aca="false">IF(OR(T403="Не дозвонились",Y403=0),0,1)</f>
        <v>0</v>
      </c>
      <c r="Y403" s="6" t="n">
        <v>1</v>
      </c>
      <c r="Z403" s="6"/>
      <c r="AA403" s="6"/>
      <c r="AB403" s="6"/>
    </row>
    <row r="404" customFormat="false" ht="15" hidden="false" customHeight="false" outlineLevel="0" collapsed="false">
      <c r="A404" s="6" t="n">
        <v>403</v>
      </c>
      <c r="B404" s="6" t="s">
        <v>28</v>
      </c>
      <c r="C404" s="6" t="s">
        <v>1638</v>
      </c>
      <c r="D404" s="13" t="n">
        <v>46251</v>
      </c>
      <c r="E404" s="6" t="n">
        <f aca="false">MONTH(D404)</f>
        <v>8</v>
      </c>
      <c r="F404" s="6" t="s">
        <v>1639</v>
      </c>
      <c r="G404" s="6" t="s">
        <v>1640</v>
      </c>
      <c r="H404" s="6" t="s">
        <v>103</v>
      </c>
      <c r="I404" s="6" t="s">
        <v>36</v>
      </c>
      <c r="J404" s="6" t="s">
        <v>253</v>
      </c>
      <c r="K404" s="6" t="s">
        <v>314</v>
      </c>
      <c r="L404" s="13" t="n">
        <v>46254</v>
      </c>
      <c r="M404" s="6" t="n">
        <v>1</v>
      </c>
      <c r="N404" s="13" t="n">
        <v>46255</v>
      </c>
      <c r="O404" s="6" t="n">
        <v>1</v>
      </c>
      <c r="P404" s="6" t="s">
        <v>1641</v>
      </c>
      <c r="Q404" s="8" t="n">
        <v>67000</v>
      </c>
      <c r="R404" s="6" t="s">
        <v>89</v>
      </c>
      <c r="S404" s="8" t="n">
        <f aca="false">IF(Q404="","",IF(R404="EUR",ROUND(Q404*Параметры!$B$3,0),Q404))</f>
        <v>67000</v>
      </c>
      <c r="T404" s="6" t="s">
        <v>71</v>
      </c>
      <c r="U404" s="6" t="s">
        <v>71</v>
      </c>
      <c r="V404" s="13"/>
      <c r="W404" s="6" t="n">
        <f aca="false">IF(T404="Оплачено",1,0)</f>
        <v>0</v>
      </c>
      <c r="X404" s="6" t="n">
        <f aca="false">IF(OR(T404="Не дозвонились",Y404=0),0,1)</f>
        <v>1</v>
      </c>
      <c r="Y404" s="6" t="n">
        <v>1</v>
      </c>
      <c r="Z404" s="6"/>
      <c r="AA404" s="6"/>
      <c r="AB404" s="6" t="s">
        <v>1382</v>
      </c>
    </row>
    <row r="405" customFormat="false" ht="15" hidden="false" customHeight="false" outlineLevel="0" collapsed="false">
      <c r="A405" s="6" t="n">
        <v>404</v>
      </c>
      <c r="B405" s="6" t="s">
        <v>29</v>
      </c>
      <c r="C405" s="6" t="s">
        <v>1642</v>
      </c>
      <c r="D405" s="13" t="n">
        <v>46251</v>
      </c>
      <c r="E405" s="6" t="n">
        <f aca="false">MONTH(D405)</f>
        <v>8</v>
      </c>
      <c r="F405" s="6" t="s">
        <v>1643</v>
      </c>
      <c r="G405" s="6" t="s">
        <v>1644</v>
      </c>
      <c r="H405" s="6" t="s">
        <v>1068</v>
      </c>
      <c r="I405" s="6" t="s">
        <v>34</v>
      </c>
      <c r="J405" s="6" t="s">
        <v>167</v>
      </c>
      <c r="K405" s="6" t="s">
        <v>175</v>
      </c>
      <c r="L405" s="13"/>
      <c r="M405" s="6" t="n">
        <v>0</v>
      </c>
      <c r="N405" s="13"/>
      <c r="O405" s="6" t="n">
        <v>0</v>
      </c>
      <c r="P405" s="6"/>
      <c r="Q405" s="8"/>
      <c r="R405" s="6"/>
      <c r="S405" s="8" t="str">
        <f aca="false">IF(Q405="","",IF(R405="EUR",ROUND(Q405*Параметры!$B$3,0),Q405))</f>
        <v/>
      </c>
      <c r="T405" s="6" t="s">
        <v>80</v>
      </c>
      <c r="U405" s="6" t="s">
        <v>117</v>
      </c>
      <c r="V405" s="13"/>
      <c r="W405" s="6" t="n">
        <f aca="false">IF(T405="Оплачено",1,0)</f>
        <v>0</v>
      </c>
      <c r="X405" s="6" t="n">
        <f aca="false">IF(OR(T405="Не дозвонились",Y405=0),0,1)</f>
        <v>0</v>
      </c>
      <c r="Y405" s="6" t="n">
        <v>1</v>
      </c>
      <c r="Z405" s="6"/>
      <c r="AA405" s="6"/>
      <c r="AB405" s="6"/>
    </row>
    <row r="406" customFormat="false" ht="15" hidden="false" customHeight="false" outlineLevel="0" collapsed="false">
      <c r="A406" s="6" t="n">
        <v>405</v>
      </c>
      <c r="B406" s="6" t="s">
        <v>30</v>
      </c>
      <c r="C406" s="6" t="s">
        <v>1645</v>
      </c>
      <c r="D406" s="13" t="n">
        <v>46251</v>
      </c>
      <c r="E406" s="6" t="n">
        <f aca="false">MONTH(D406)</f>
        <v>8</v>
      </c>
      <c r="F406" s="6" t="s">
        <v>1646</v>
      </c>
      <c r="G406" s="6" t="s">
        <v>1647</v>
      </c>
      <c r="H406" s="6" t="s">
        <v>672</v>
      </c>
      <c r="I406" s="6" t="s">
        <v>36</v>
      </c>
      <c r="J406" s="6" t="s">
        <v>1200</v>
      </c>
      <c r="K406" s="6" t="s">
        <v>281</v>
      </c>
      <c r="L406" s="13" t="n">
        <v>46255</v>
      </c>
      <c r="M406" s="6" t="n">
        <v>1</v>
      </c>
      <c r="N406" s="13" t="n">
        <v>46259</v>
      </c>
      <c r="O406" s="6" t="n">
        <v>1</v>
      </c>
      <c r="P406" s="6" t="s">
        <v>1648</v>
      </c>
      <c r="Q406" s="8" t="n">
        <v>8700</v>
      </c>
      <c r="R406" s="6" t="s">
        <v>89</v>
      </c>
      <c r="S406" s="8" t="n">
        <f aca="false">IF(Q406="","",IF(R406="EUR",ROUND(Q406*Параметры!$B$3,0),Q406))</f>
        <v>8700</v>
      </c>
      <c r="T406" s="6" t="s">
        <v>90</v>
      </c>
      <c r="U406" s="6" t="s">
        <v>434</v>
      </c>
      <c r="V406" s="13"/>
      <c r="W406" s="6" t="n">
        <f aca="false">IF(T406="Оплачено",1,0)</f>
        <v>0</v>
      </c>
      <c r="X406" s="6" t="n">
        <f aca="false">IF(OR(T406="Не дозвонились",Y406=0),0,1)</f>
        <v>1</v>
      </c>
      <c r="Y406" s="6" t="n">
        <v>1</v>
      </c>
      <c r="Z406" s="6"/>
      <c r="AA406" s="6"/>
      <c r="AB406" s="6"/>
    </row>
    <row r="407" customFormat="false" ht="15" hidden="false" customHeight="false" outlineLevel="0" collapsed="false">
      <c r="A407" s="6" t="n">
        <v>406</v>
      </c>
      <c r="B407" s="6" t="s">
        <v>30</v>
      </c>
      <c r="C407" s="6" t="s">
        <v>1649</v>
      </c>
      <c r="D407" s="13" t="n">
        <v>46251</v>
      </c>
      <c r="E407" s="6" t="n">
        <f aca="false">MONTH(D407)</f>
        <v>8</v>
      </c>
      <c r="F407" s="6" t="s">
        <v>1650</v>
      </c>
      <c r="G407" s="6" t="s">
        <v>1651</v>
      </c>
      <c r="H407" s="6" t="s">
        <v>161</v>
      </c>
      <c r="I407" s="6" t="s">
        <v>39</v>
      </c>
      <c r="J407" s="6"/>
      <c r="K407" s="6" t="s">
        <v>366</v>
      </c>
      <c r="L407" s="13"/>
      <c r="M407" s="6" t="n">
        <v>0</v>
      </c>
      <c r="N407" s="13"/>
      <c r="O407" s="6" t="n">
        <v>0</v>
      </c>
      <c r="P407" s="6"/>
      <c r="Q407" s="8"/>
      <c r="R407" s="6"/>
      <c r="S407" s="8" t="str">
        <f aca="false">IF(Q407="","",IF(R407="EUR",ROUND(Q407*Параметры!$B$3,0),Q407))</f>
        <v/>
      </c>
      <c r="T407" s="6" t="s">
        <v>150</v>
      </c>
      <c r="U407" s="6" t="s">
        <v>151</v>
      </c>
      <c r="V407" s="13"/>
      <c r="W407" s="6" t="n">
        <f aca="false">IF(T407="Оплачено",1,0)</f>
        <v>0</v>
      </c>
      <c r="X407" s="6" t="n">
        <f aca="false">IF(OR(T407="Не дозвонились",Y407=0),0,1)</f>
        <v>1</v>
      </c>
      <c r="Y407" s="6" t="n">
        <v>1</v>
      </c>
      <c r="Z407" s="6"/>
      <c r="AA407" s="6"/>
      <c r="AB407" s="6" t="s">
        <v>180</v>
      </c>
    </row>
    <row r="408" customFormat="false" ht="15" hidden="false" customHeight="false" outlineLevel="0" collapsed="false">
      <c r="A408" s="6" t="n">
        <v>407</v>
      </c>
      <c r="B408" s="6" t="s">
        <v>28</v>
      </c>
      <c r="C408" s="6" t="s">
        <v>1652</v>
      </c>
      <c r="D408" s="13" t="n">
        <v>46252</v>
      </c>
      <c r="E408" s="6" t="n">
        <f aca="false">MONTH(D408)</f>
        <v>8</v>
      </c>
      <c r="F408" s="6" t="s">
        <v>1653</v>
      </c>
      <c r="G408" s="6" t="s">
        <v>1654</v>
      </c>
      <c r="H408" s="6" t="s">
        <v>197</v>
      </c>
      <c r="I408" s="6" t="s">
        <v>36</v>
      </c>
      <c r="J408" s="6" t="s">
        <v>253</v>
      </c>
      <c r="K408" s="6" t="s">
        <v>156</v>
      </c>
      <c r="L408" s="13" t="n">
        <v>46254</v>
      </c>
      <c r="M408" s="6" t="n">
        <v>1</v>
      </c>
      <c r="N408" s="13" t="n">
        <v>46255</v>
      </c>
      <c r="O408" s="6" t="n">
        <v>1</v>
      </c>
      <c r="P408" s="6" t="s">
        <v>1655</v>
      </c>
      <c r="Q408" s="8" t="n">
        <v>20800</v>
      </c>
      <c r="R408" s="6" t="s">
        <v>89</v>
      </c>
      <c r="S408" s="8" t="n">
        <f aca="false">IF(Q408="","",IF(R408="EUR",ROUND(Q408*Параметры!$B$3,0),Q408))</f>
        <v>20800</v>
      </c>
      <c r="T408" s="6" t="s">
        <v>15</v>
      </c>
      <c r="U408" s="6" t="s">
        <v>15</v>
      </c>
      <c r="V408" s="13" t="n">
        <v>46260</v>
      </c>
      <c r="W408" s="6" t="n">
        <f aca="false">IF(T408="Оплачено",1,0)</f>
        <v>1</v>
      </c>
      <c r="X408" s="6" t="n">
        <f aca="false">IF(OR(T408="Не дозвонились",Y408=0),0,1)</f>
        <v>1</v>
      </c>
      <c r="Y408" s="6" t="n">
        <v>1</v>
      </c>
      <c r="Z408" s="6"/>
      <c r="AA408" s="6"/>
      <c r="AB408" s="6"/>
    </row>
    <row r="409" customFormat="false" ht="15" hidden="false" customHeight="false" outlineLevel="0" collapsed="false">
      <c r="A409" s="6" t="n">
        <v>408</v>
      </c>
      <c r="B409" s="6" t="s">
        <v>28</v>
      </c>
      <c r="C409" s="6" t="s">
        <v>1656</v>
      </c>
      <c r="D409" s="13" t="n">
        <v>46253</v>
      </c>
      <c r="E409" s="6" t="n">
        <f aca="false">MONTH(D409)</f>
        <v>8</v>
      </c>
      <c r="F409" s="6" t="s">
        <v>1657</v>
      </c>
      <c r="G409" s="6" t="s">
        <v>1658</v>
      </c>
      <c r="H409" s="6" t="s">
        <v>672</v>
      </c>
      <c r="I409" s="6" t="s">
        <v>34</v>
      </c>
      <c r="J409" s="6" t="s">
        <v>34</v>
      </c>
      <c r="K409" s="6" t="s">
        <v>156</v>
      </c>
      <c r="L409" s="13" t="n">
        <v>46259</v>
      </c>
      <c r="M409" s="6" t="n">
        <v>1</v>
      </c>
      <c r="N409" s="13"/>
      <c r="O409" s="6" t="n">
        <v>0</v>
      </c>
      <c r="P409" s="6"/>
      <c r="Q409" s="8"/>
      <c r="R409" s="6"/>
      <c r="S409" s="8" t="str">
        <f aca="false">IF(Q409="","",IF(R409="EUR",ROUND(Q409*Параметры!$B$3,0),Q409))</f>
        <v/>
      </c>
      <c r="T409" s="6" t="s">
        <v>71</v>
      </c>
      <c r="U409" s="6" t="s">
        <v>71</v>
      </c>
      <c r="V409" s="13"/>
      <c r="W409" s="6" t="n">
        <f aca="false">IF(T409="Оплачено",1,0)</f>
        <v>0</v>
      </c>
      <c r="X409" s="6" t="n">
        <f aca="false">IF(OR(T409="Не дозвонились",Y409=0),0,1)</f>
        <v>1</v>
      </c>
      <c r="Y409" s="6" t="n">
        <v>1</v>
      </c>
      <c r="Z409" s="6"/>
      <c r="AA409" s="6" t="s">
        <v>1659</v>
      </c>
      <c r="AB409" s="6"/>
    </row>
    <row r="410" customFormat="false" ht="15" hidden="false" customHeight="false" outlineLevel="0" collapsed="false">
      <c r="A410" s="14" t="n">
        <v>409</v>
      </c>
      <c r="B410" s="14" t="s">
        <v>28</v>
      </c>
      <c r="C410" s="14" t="s">
        <v>1660</v>
      </c>
      <c r="D410" s="15" t="n">
        <v>46253</v>
      </c>
      <c r="E410" s="14" t="n">
        <f aca="false">MONTH(D410)</f>
        <v>8</v>
      </c>
      <c r="F410" s="14" t="s">
        <v>1657</v>
      </c>
      <c r="G410" s="14" t="s">
        <v>1658</v>
      </c>
      <c r="H410" s="14" t="s">
        <v>672</v>
      </c>
      <c r="I410" s="14" t="s">
        <v>34</v>
      </c>
      <c r="J410" s="14" t="s">
        <v>34</v>
      </c>
      <c r="K410" s="14" t="s">
        <v>156</v>
      </c>
      <c r="L410" s="15" t="n">
        <v>46259</v>
      </c>
      <c r="M410" s="14" t="n">
        <v>1</v>
      </c>
      <c r="N410" s="15"/>
      <c r="O410" s="14" t="n">
        <v>0</v>
      </c>
      <c r="P410" s="14"/>
      <c r="Q410" s="16"/>
      <c r="R410" s="14"/>
      <c r="S410" s="16" t="str">
        <f aca="false">IF(Q410="","",IF(R410="EUR",ROUND(Q410*Параметры!$B$3,0),Q410))</f>
        <v/>
      </c>
      <c r="T410" s="14" t="s">
        <v>71</v>
      </c>
      <c r="U410" s="14" t="s">
        <v>71</v>
      </c>
      <c r="V410" s="15"/>
      <c r="W410" s="14" t="n">
        <f aca="false">IF(T410="Оплачено",1,0)</f>
        <v>0</v>
      </c>
      <c r="X410" s="14" t="n">
        <f aca="false">IF(OR(T410="Не дозвонились",Y410=0),0,1)</f>
        <v>0</v>
      </c>
      <c r="Y410" s="14" t="n">
        <v>0</v>
      </c>
      <c r="Z410" s="14" t="s">
        <v>1661</v>
      </c>
      <c r="AA410" s="14"/>
      <c r="AB410" s="14"/>
    </row>
    <row r="411" customFormat="false" ht="15" hidden="false" customHeight="false" outlineLevel="0" collapsed="false">
      <c r="A411" s="6" t="n">
        <v>410</v>
      </c>
      <c r="B411" s="6" t="s">
        <v>28</v>
      </c>
      <c r="C411" s="6" t="s">
        <v>1662</v>
      </c>
      <c r="D411" s="13" t="n">
        <v>46253</v>
      </c>
      <c r="E411" s="6" t="n">
        <f aca="false">MONTH(D411)</f>
        <v>8</v>
      </c>
      <c r="F411" s="6" t="s">
        <v>1663</v>
      </c>
      <c r="G411" s="6" t="s">
        <v>1664</v>
      </c>
      <c r="H411" s="6" t="s">
        <v>208</v>
      </c>
      <c r="I411" s="6" t="s">
        <v>36</v>
      </c>
      <c r="J411" s="6" t="s">
        <v>253</v>
      </c>
      <c r="K411" s="6" t="s">
        <v>198</v>
      </c>
      <c r="L411" s="13"/>
      <c r="M411" s="6" t="n">
        <v>0</v>
      </c>
      <c r="N411" s="13"/>
      <c r="O411" s="6" t="n">
        <v>0</v>
      </c>
      <c r="P411" s="6"/>
      <c r="Q411" s="8"/>
      <c r="R411" s="6"/>
      <c r="S411" s="8" t="str">
        <f aca="false">IF(Q411="","",IF(R411="EUR",ROUND(Q411*Параметры!$B$3,0),Q411))</f>
        <v/>
      </c>
      <c r="T411" s="6" t="s">
        <v>80</v>
      </c>
      <c r="U411" s="6" t="s">
        <v>163</v>
      </c>
      <c r="V411" s="13"/>
      <c r="W411" s="6" t="n">
        <f aca="false">IF(T411="Оплачено",1,0)</f>
        <v>0</v>
      </c>
      <c r="X411" s="6" t="n">
        <f aca="false">IF(OR(T411="Не дозвонились",Y411=0),0,1)</f>
        <v>0</v>
      </c>
      <c r="Y411" s="6" t="n">
        <v>1</v>
      </c>
      <c r="Z411" s="6"/>
      <c r="AA411" s="6"/>
      <c r="AB411" s="6"/>
    </row>
    <row r="412" customFormat="false" ht="15" hidden="false" customHeight="false" outlineLevel="0" collapsed="false">
      <c r="A412" s="6" t="n">
        <v>411</v>
      </c>
      <c r="B412" s="6" t="s">
        <v>28</v>
      </c>
      <c r="C412" s="6" t="s">
        <v>1665</v>
      </c>
      <c r="D412" s="13" t="n">
        <v>46253</v>
      </c>
      <c r="E412" s="6" t="n">
        <f aca="false">MONTH(D412)</f>
        <v>8</v>
      </c>
      <c r="F412" s="6" t="s">
        <v>1666</v>
      </c>
      <c r="G412" s="6" t="s">
        <v>1667</v>
      </c>
      <c r="H412" s="6" t="s">
        <v>672</v>
      </c>
      <c r="I412" s="6" t="s">
        <v>36</v>
      </c>
      <c r="J412" s="6" t="s">
        <v>253</v>
      </c>
      <c r="K412" s="6" t="s">
        <v>98</v>
      </c>
      <c r="L412" s="13"/>
      <c r="M412" s="6" t="n">
        <v>0</v>
      </c>
      <c r="N412" s="13"/>
      <c r="O412" s="6" t="n">
        <v>0</v>
      </c>
      <c r="P412" s="6"/>
      <c r="Q412" s="8"/>
      <c r="R412" s="6"/>
      <c r="S412" s="8" t="str">
        <f aca="false">IF(Q412="","",IF(R412="EUR",ROUND(Q412*Параметры!$B$3,0),Q412))</f>
        <v/>
      </c>
      <c r="T412" s="6" t="s">
        <v>80</v>
      </c>
      <c r="U412" s="6" t="s">
        <v>163</v>
      </c>
      <c r="V412" s="13"/>
      <c r="W412" s="6" t="n">
        <f aca="false">IF(T412="Оплачено",1,0)</f>
        <v>0</v>
      </c>
      <c r="X412" s="6" t="n">
        <f aca="false">IF(OR(T412="Не дозвонились",Y412=0),0,1)</f>
        <v>0</v>
      </c>
      <c r="Y412" s="6" t="n">
        <v>1</v>
      </c>
      <c r="Z412" s="6"/>
      <c r="AA412" s="6"/>
      <c r="AB412" s="6"/>
    </row>
    <row r="413" customFormat="false" ht="15" hidden="false" customHeight="false" outlineLevel="0" collapsed="false">
      <c r="A413" s="6" t="n">
        <v>412</v>
      </c>
      <c r="B413" s="6" t="s">
        <v>29</v>
      </c>
      <c r="C413" s="6" t="s">
        <v>1668</v>
      </c>
      <c r="D413" s="13" t="n">
        <v>46253</v>
      </c>
      <c r="E413" s="6" t="n">
        <f aca="false">MONTH(D413)</f>
        <v>8</v>
      </c>
      <c r="F413" s="6" t="s">
        <v>1669</v>
      </c>
      <c r="G413" s="6" t="s">
        <v>1670</v>
      </c>
      <c r="H413" s="6" t="s">
        <v>1154</v>
      </c>
      <c r="I413" s="6" t="s">
        <v>39</v>
      </c>
      <c r="J413" s="6"/>
      <c r="K413" s="6" t="s">
        <v>239</v>
      </c>
      <c r="L413" s="13" t="n">
        <v>46258</v>
      </c>
      <c r="M413" s="6" t="n">
        <v>1</v>
      </c>
      <c r="N413" s="13"/>
      <c r="O413" s="6" t="n">
        <v>0</v>
      </c>
      <c r="P413" s="6"/>
      <c r="Q413" s="8"/>
      <c r="R413" s="6"/>
      <c r="S413" s="8" t="str">
        <f aca="false">IF(Q413="","",IF(R413="EUR",ROUND(Q413*Параметры!$B$3,0),Q413))</f>
        <v/>
      </c>
      <c r="T413" s="6" t="s">
        <v>71</v>
      </c>
      <c r="U413" s="6" t="s">
        <v>72</v>
      </c>
      <c r="V413" s="13"/>
      <c r="W413" s="6" t="n">
        <f aca="false">IF(T413="Оплачено",1,0)</f>
        <v>0</v>
      </c>
      <c r="X413" s="6" t="n">
        <f aca="false">IF(OR(T413="Не дозвонились",Y413=0),0,1)</f>
        <v>1</v>
      </c>
      <c r="Y413" s="6" t="n">
        <v>1</v>
      </c>
      <c r="Z413" s="6"/>
      <c r="AA413" s="6"/>
      <c r="AB413" s="6" t="s">
        <v>544</v>
      </c>
    </row>
    <row r="414" customFormat="false" ht="15" hidden="false" customHeight="false" outlineLevel="0" collapsed="false">
      <c r="A414" s="6" t="n">
        <v>413</v>
      </c>
      <c r="B414" s="6" t="s">
        <v>29</v>
      </c>
      <c r="C414" s="6" t="s">
        <v>1671</v>
      </c>
      <c r="D414" s="13" t="n">
        <v>46253</v>
      </c>
      <c r="E414" s="6" t="n">
        <f aca="false">MONTH(D414)</f>
        <v>8</v>
      </c>
      <c r="F414" s="6" t="s">
        <v>1672</v>
      </c>
      <c r="G414" s="6" t="s">
        <v>1673</v>
      </c>
      <c r="H414" s="6" t="s">
        <v>96</v>
      </c>
      <c r="I414" s="6" t="s">
        <v>35</v>
      </c>
      <c r="J414" s="6" t="s">
        <v>142</v>
      </c>
      <c r="K414" s="6" t="s">
        <v>143</v>
      </c>
      <c r="L414" s="13"/>
      <c r="M414" s="6" t="n">
        <v>0</v>
      </c>
      <c r="N414" s="13"/>
      <c r="O414" s="6" t="n">
        <v>0</v>
      </c>
      <c r="P414" s="6"/>
      <c r="Q414" s="8"/>
      <c r="R414" s="6"/>
      <c r="S414" s="8" t="str">
        <f aca="false">IF(Q414="","",IF(R414="EUR",ROUND(Q414*Параметры!$B$3,0),Q414))</f>
        <v/>
      </c>
      <c r="T414" s="6" t="s">
        <v>80</v>
      </c>
      <c r="U414" s="6" t="s">
        <v>117</v>
      </c>
      <c r="V414" s="13"/>
      <c r="W414" s="6" t="n">
        <f aca="false">IF(T414="Оплачено",1,0)</f>
        <v>0</v>
      </c>
      <c r="X414" s="6" t="n">
        <f aca="false">IF(OR(T414="Не дозвонились",Y414=0),0,1)</f>
        <v>0</v>
      </c>
      <c r="Y414" s="6" t="n">
        <v>1</v>
      </c>
      <c r="Z414" s="6"/>
      <c r="AA414" s="6"/>
      <c r="AB414" s="6" t="s">
        <v>410</v>
      </c>
    </row>
    <row r="415" customFormat="false" ht="15" hidden="false" customHeight="false" outlineLevel="0" collapsed="false">
      <c r="A415" s="6" t="n">
        <v>414</v>
      </c>
      <c r="B415" s="6" t="s">
        <v>30</v>
      </c>
      <c r="C415" s="6" t="s">
        <v>1674</v>
      </c>
      <c r="D415" s="13" t="n">
        <v>46253</v>
      </c>
      <c r="E415" s="6" t="n">
        <f aca="false">MONTH(D415)</f>
        <v>8</v>
      </c>
      <c r="F415" s="6" t="s">
        <v>182</v>
      </c>
      <c r="G415" s="6" t="s">
        <v>1675</v>
      </c>
      <c r="H415" s="6" t="s">
        <v>96</v>
      </c>
      <c r="I415" s="6" t="s">
        <v>35</v>
      </c>
      <c r="J415" s="6" t="s">
        <v>276</v>
      </c>
      <c r="K415" s="6" t="s">
        <v>220</v>
      </c>
      <c r="L415" s="13"/>
      <c r="M415" s="6" t="n">
        <v>1</v>
      </c>
      <c r="N415" s="13" t="n">
        <v>46267</v>
      </c>
      <c r="O415" s="6" t="n">
        <v>1</v>
      </c>
      <c r="P415" s="6" t="s">
        <v>1676</v>
      </c>
      <c r="Q415" s="8"/>
      <c r="R415" s="6"/>
      <c r="S415" s="8" t="str">
        <f aca="false">IF(Q415="","",IF(R415="EUR",ROUND(Q415*Параметры!$B$3,0),Q415))</f>
        <v/>
      </c>
      <c r="T415" s="6" t="s">
        <v>90</v>
      </c>
      <c r="U415" s="6" t="s">
        <v>91</v>
      </c>
      <c r="V415" s="13"/>
      <c r="W415" s="6" t="n">
        <f aca="false">IF(T415="Оплачено",1,0)</f>
        <v>0</v>
      </c>
      <c r="X415" s="6" t="n">
        <f aca="false">IF(OR(T415="Не дозвонились",Y415=0),0,1)</f>
        <v>1</v>
      </c>
      <c r="Y415" s="6" t="n">
        <v>1</v>
      </c>
      <c r="Z415" s="6"/>
      <c r="AA415" s="6" t="s">
        <v>1677</v>
      </c>
      <c r="AB415" s="6"/>
    </row>
    <row r="416" customFormat="false" ht="15" hidden="false" customHeight="false" outlineLevel="0" collapsed="false">
      <c r="A416" s="6" t="n">
        <v>415</v>
      </c>
      <c r="B416" s="6" t="s">
        <v>28</v>
      </c>
      <c r="C416" s="6" t="s">
        <v>1678</v>
      </c>
      <c r="D416" s="13" t="n">
        <v>46254</v>
      </c>
      <c r="E416" s="6" t="n">
        <f aca="false">MONTH(D416)</f>
        <v>8</v>
      </c>
      <c r="F416" s="6" t="s">
        <v>1679</v>
      </c>
      <c r="G416" s="6" t="s">
        <v>1680</v>
      </c>
      <c r="H416" s="6" t="s">
        <v>191</v>
      </c>
      <c r="I416" s="6" t="s">
        <v>38</v>
      </c>
      <c r="J416" s="6" t="s">
        <v>38</v>
      </c>
      <c r="K416" s="6" t="s">
        <v>162</v>
      </c>
      <c r="L416" s="13" t="n">
        <v>46255</v>
      </c>
      <c r="M416" s="6" t="n">
        <v>1</v>
      </c>
      <c r="N416" s="13" t="n">
        <v>46256</v>
      </c>
      <c r="O416" s="6" t="n">
        <v>1</v>
      </c>
      <c r="P416" s="6" t="s">
        <v>1681</v>
      </c>
      <c r="Q416" s="8" t="n">
        <v>35900</v>
      </c>
      <c r="R416" s="6" t="s">
        <v>89</v>
      </c>
      <c r="S416" s="8" t="n">
        <f aca="false">IF(Q416="","",IF(R416="EUR",ROUND(Q416*Параметры!$B$3,0),Q416))</f>
        <v>35900</v>
      </c>
      <c r="T416" s="6" t="s">
        <v>71</v>
      </c>
      <c r="U416" s="6" t="s">
        <v>71</v>
      </c>
      <c r="V416" s="13"/>
      <c r="W416" s="6" t="n">
        <f aca="false">IF(T416="Оплачено",1,0)</f>
        <v>0</v>
      </c>
      <c r="X416" s="6" t="n">
        <f aca="false">IF(OR(T416="Не дозвонились",Y416=0),0,1)</f>
        <v>1</v>
      </c>
      <c r="Y416" s="6" t="n">
        <v>1</v>
      </c>
      <c r="Z416" s="6"/>
      <c r="AA416" s="6"/>
      <c r="AB416" s="6" t="s">
        <v>1682</v>
      </c>
    </row>
    <row r="417" customFormat="false" ht="15" hidden="false" customHeight="false" outlineLevel="0" collapsed="false">
      <c r="A417" s="6" t="n">
        <v>416</v>
      </c>
      <c r="B417" s="6" t="s">
        <v>28</v>
      </c>
      <c r="C417" s="6" t="s">
        <v>1683</v>
      </c>
      <c r="D417" s="13" t="n">
        <v>46254</v>
      </c>
      <c r="E417" s="6" t="n">
        <f aca="false">MONTH(D417)</f>
        <v>8</v>
      </c>
      <c r="F417" s="6" t="s">
        <v>1684</v>
      </c>
      <c r="G417" s="6" t="s">
        <v>1685</v>
      </c>
      <c r="H417" s="6" t="s">
        <v>286</v>
      </c>
      <c r="I417" s="6" t="s">
        <v>35</v>
      </c>
      <c r="J417" s="6" t="s">
        <v>35</v>
      </c>
      <c r="K417" s="6" t="s">
        <v>314</v>
      </c>
      <c r="L417" s="13"/>
      <c r="M417" s="6" t="n">
        <v>0</v>
      </c>
      <c r="N417" s="13"/>
      <c r="O417" s="6" t="n">
        <v>0</v>
      </c>
      <c r="P417" s="6"/>
      <c r="Q417" s="8"/>
      <c r="R417" s="6"/>
      <c r="S417" s="8" t="str">
        <f aca="false">IF(Q417="","",IF(R417="EUR",ROUND(Q417*Параметры!$B$3,0),Q417))</f>
        <v/>
      </c>
      <c r="T417" s="6" t="s">
        <v>71</v>
      </c>
      <c r="U417" s="6" t="s">
        <v>71</v>
      </c>
      <c r="V417" s="13"/>
      <c r="W417" s="6" t="n">
        <f aca="false">IF(T417="Оплачено",1,0)</f>
        <v>0</v>
      </c>
      <c r="X417" s="6" t="n">
        <f aca="false">IF(OR(T417="Не дозвонились",Y417=0),0,1)</f>
        <v>1</v>
      </c>
      <c r="Y417" s="6" t="n">
        <v>1</v>
      </c>
      <c r="Z417" s="6"/>
      <c r="AA417" s="6"/>
      <c r="AB417" s="6" t="s">
        <v>235</v>
      </c>
    </row>
    <row r="418" customFormat="false" ht="15" hidden="false" customHeight="false" outlineLevel="0" collapsed="false">
      <c r="A418" s="6" t="n">
        <v>417</v>
      </c>
      <c r="B418" s="6" t="s">
        <v>29</v>
      </c>
      <c r="C418" s="6" t="s">
        <v>1686</v>
      </c>
      <c r="D418" s="13" t="n">
        <v>46254</v>
      </c>
      <c r="E418" s="6" t="n">
        <f aca="false">MONTH(D418)</f>
        <v>8</v>
      </c>
      <c r="F418" s="6" t="s">
        <v>1687</v>
      </c>
      <c r="G418" s="6" t="s">
        <v>1688</v>
      </c>
      <c r="H418" s="6" t="s">
        <v>343</v>
      </c>
      <c r="I418" s="6" t="s">
        <v>37</v>
      </c>
      <c r="J418" s="6" t="s">
        <v>69</v>
      </c>
      <c r="K418" s="6" t="s">
        <v>239</v>
      </c>
      <c r="L418" s="13" t="n">
        <v>46258</v>
      </c>
      <c r="M418" s="6" t="n">
        <v>1</v>
      </c>
      <c r="N418" s="13" t="n">
        <v>46267</v>
      </c>
      <c r="O418" s="6" t="n">
        <v>1</v>
      </c>
      <c r="P418" s="6" t="s">
        <v>1689</v>
      </c>
      <c r="Q418" s="8" t="n">
        <v>18900</v>
      </c>
      <c r="R418" s="6" t="s">
        <v>89</v>
      </c>
      <c r="S418" s="8" t="n">
        <f aca="false">IF(Q418="","",IF(R418="EUR",ROUND(Q418*Параметры!$B$3,0),Q418))</f>
        <v>18900</v>
      </c>
      <c r="T418" s="6" t="s">
        <v>956</v>
      </c>
      <c r="U418" s="6" t="s">
        <v>1690</v>
      </c>
      <c r="V418" s="13"/>
      <c r="W418" s="6" t="n">
        <f aca="false">IF(T418="Оплачено",1,0)</f>
        <v>0</v>
      </c>
      <c r="X418" s="6" t="n">
        <f aca="false">IF(OR(T418="Не дозвонились",Y418=0),0,1)</f>
        <v>1</v>
      </c>
      <c r="Y418" s="6" t="n">
        <v>1</v>
      </c>
      <c r="Z418" s="6"/>
      <c r="AA418" s="6"/>
      <c r="AB418" s="6"/>
    </row>
    <row r="419" customFormat="false" ht="15" hidden="false" customHeight="false" outlineLevel="0" collapsed="false">
      <c r="A419" s="6" t="n">
        <v>418</v>
      </c>
      <c r="B419" s="6" t="s">
        <v>30</v>
      </c>
      <c r="C419" s="6" t="s">
        <v>1691</v>
      </c>
      <c r="D419" s="13" t="n">
        <v>46254</v>
      </c>
      <c r="E419" s="6" t="n">
        <f aca="false">MONTH(D419)</f>
        <v>8</v>
      </c>
      <c r="F419" s="6" t="s">
        <v>1692</v>
      </c>
      <c r="G419" s="6" t="s">
        <v>1693</v>
      </c>
      <c r="H419" s="6" t="s">
        <v>665</v>
      </c>
      <c r="I419" s="6" t="s">
        <v>37</v>
      </c>
      <c r="J419" s="6" t="s">
        <v>185</v>
      </c>
      <c r="K419" s="6" t="s">
        <v>1091</v>
      </c>
      <c r="L419" s="13" t="n">
        <v>46256</v>
      </c>
      <c r="M419" s="6" t="n">
        <v>1</v>
      </c>
      <c r="N419" s="13" t="n">
        <v>46259</v>
      </c>
      <c r="O419" s="6" t="n">
        <v>1</v>
      </c>
      <c r="P419" s="6" t="s">
        <v>1694</v>
      </c>
      <c r="Q419" s="8" t="n">
        <v>1500</v>
      </c>
      <c r="R419" s="6" t="s">
        <v>89</v>
      </c>
      <c r="S419" s="8" t="n">
        <f aca="false">IF(Q419="","",IF(R419="EUR",ROUND(Q419*Параметры!$B$3,0),Q419))</f>
        <v>1500</v>
      </c>
      <c r="T419" s="6" t="s">
        <v>71</v>
      </c>
      <c r="U419" s="6" t="s">
        <v>225</v>
      </c>
      <c r="V419" s="13"/>
      <c r="W419" s="6" t="n">
        <f aca="false">IF(T419="Оплачено",1,0)</f>
        <v>0</v>
      </c>
      <c r="X419" s="6" t="n">
        <f aca="false">IF(OR(T419="Не дозвонились",Y419=0),0,1)</f>
        <v>1</v>
      </c>
      <c r="Y419" s="6" t="n">
        <v>1</v>
      </c>
      <c r="Z419" s="6"/>
      <c r="AA419" s="6"/>
      <c r="AB419" s="6"/>
    </row>
    <row r="420" customFormat="false" ht="15" hidden="false" customHeight="false" outlineLevel="0" collapsed="false">
      <c r="A420" s="6" t="n">
        <v>419</v>
      </c>
      <c r="B420" s="6" t="s">
        <v>30</v>
      </c>
      <c r="C420" s="6" t="s">
        <v>1695</v>
      </c>
      <c r="D420" s="13" t="n">
        <v>46254</v>
      </c>
      <c r="E420" s="6" t="n">
        <f aca="false">MONTH(D420)</f>
        <v>8</v>
      </c>
      <c r="F420" s="6" t="s">
        <v>130</v>
      </c>
      <c r="G420" s="6" t="s">
        <v>1696</v>
      </c>
      <c r="H420" s="6" t="s">
        <v>147</v>
      </c>
      <c r="I420" s="6" t="s">
        <v>34</v>
      </c>
      <c r="J420" s="6" t="s">
        <v>214</v>
      </c>
      <c r="K420" s="6" t="s">
        <v>881</v>
      </c>
      <c r="L420" s="13"/>
      <c r="M420" s="6" t="n">
        <v>0</v>
      </c>
      <c r="N420" s="13"/>
      <c r="O420" s="6" t="n">
        <v>0</v>
      </c>
      <c r="P420" s="6"/>
      <c r="Q420" s="8"/>
      <c r="R420" s="6"/>
      <c r="S420" s="8" t="str">
        <f aca="false">IF(Q420="","",IF(R420="EUR",ROUND(Q420*Параметры!$B$3,0),Q420))</f>
        <v/>
      </c>
      <c r="T420" s="6" t="s">
        <v>71</v>
      </c>
      <c r="U420" s="6" t="s">
        <v>225</v>
      </c>
      <c r="V420" s="13"/>
      <c r="W420" s="6" t="n">
        <f aca="false">IF(T420="Оплачено",1,0)</f>
        <v>0</v>
      </c>
      <c r="X420" s="6" t="n">
        <f aca="false">IF(OR(T420="Не дозвонились",Y420=0),0,1)</f>
        <v>1</v>
      </c>
      <c r="Y420" s="6" t="n">
        <v>1</v>
      </c>
      <c r="Z420" s="6"/>
      <c r="AA420" s="6"/>
      <c r="AB420" s="6" t="s">
        <v>1697</v>
      </c>
    </row>
    <row r="421" customFormat="false" ht="15" hidden="false" customHeight="false" outlineLevel="0" collapsed="false">
      <c r="A421" s="6" t="n">
        <v>420</v>
      </c>
      <c r="B421" s="6" t="s">
        <v>30</v>
      </c>
      <c r="C421" s="6" t="s">
        <v>1698</v>
      </c>
      <c r="D421" s="13" t="n">
        <v>46254</v>
      </c>
      <c r="E421" s="6" t="n">
        <f aca="false">MONTH(D421)</f>
        <v>8</v>
      </c>
      <c r="F421" s="6" t="s">
        <v>1699</v>
      </c>
      <c r="G421" s="6" t="s">
        <v>1700</v>
      </c>
      <c r="H421" s="6" t="s">
        <v>147</v>
      </c>
      <c r="I421" s="6" t="s">
        <v>39</v>
      </c>
      <c r="J421" s="6"/>
      <c r="K421" s="6" t="s">
        <v>536</v>
      </c>
      <c r="L421" s="13"/>
      <c r="M421" s="6" t="n">
        <v>0</v>
      </c>
      <c r="N421" s="13"/>
      <c r="O421" s="6" t="n">
        <v>0</v>
      </c>
      <c r="P421" s="6"/>
      <c r="Q421" s="8"/>
      <c r="R421" s="6"/>
      <c r="S421" s="8" t="str">
        <f aca="false">IF(Q421="","",IF(R421="EUR",ROUND(Q421*Параметры!$B$3,0),Q421))</f>
        <v/>
      </c>
      <c r="T421" s="6" t="s">
        <v>71</v>
      </c>
      <c r="U421" s="6" t="s">
        <v>225</v>
      </c>
      <c r="V421" s="13"/>
      <c r="W421" s="6" t="n">
        <f aca="false">IF(T421="Оплачено",1,0)</f>
        <v>0</v>
      </c>
      <c r="X421" s="6" t="n">
        <f aca="false">IF(OR(T421="Не дозвонились",Y421=0),0,1)</f>
        <v>1</v>
      </c>
      <c r="Y421" s="6" t="n">
        <v>1</v>
      </c>
      <c r="Z421" s="6"/>
      <c r="AA421" s="6"/>
      <c r="AB421" s="6" t="s">
        <v>209</v>
      </c>
    </row>
    <row r="422" customFormat="false" ht="15" hidden="false" customHeight="false" outlineLevel="0" collapsed="false">
      <c r="A422" s="6" t="n">
        <v>421</v>
      </c>
      <c r="B422" s="6" t="s">
        <v>30</v>
      </c>
      <c r="C422" s="6" t="s">
        <v>1701</v>
      </c>
      <c r="D422" s="13" t="n">
        <v>46254</v>
      </c>
      <c r="E422" s="6" t="n">
        <f aca="false">MONTH(D422)</f>
        <v>8</v>
      </c>
      <c r="F422" s="6" t="s">
        <v>647</v>
      </c>
      <c r="G422" s="6" t="s">
        <v>1702</v>
      </c>
      <c r="H422" s="6" t="s">
        <v>85</v>
      </c>
      <c r="I422" s="6" t="s">
        <v>36</v>
      </c>
      <c r="J422" s="6" t="s">
        <v>1318</v>
      </c>
      <c r="K422" s="6" t="s">
        <v>625</v>
      </c>
      <c r="L422" s="13" t="n">
        <v>46255</v>
      </c>
      <c r="M422" s="6" t="n">
        <v>1</v>
      </c>
      <c r="N422" s="13" t="n">
        <v>46259</v>
      </c>
      <c r="O422" s="6" t="n">
        <v>1</v>
      </c>
      <c r="P422" s="6" t="s">
        <v>1703</v>
      </c>
      <c r="Q422" s="8" t="n">
        <v>49300</v>
      </c>
      <c r="R422" s="6" t="s">
        <v>89</v>
      </c>
      <c r="S422" s="8" t="n">
        <f aca="false">IF(Q422="","",IF(R422="EUR",ROUND(Q422*Параметры!$B$3,0),Q422))</f>
        <v>49300</v>
      </c>
      <c r="T422" s="6" t="s">
        <v>71</v>
      </c>
      <c r="U422" s="6" t="s">
        <v>72</v>
      </c>
      <c r="V422" s="13"/>
      <c r="W422" s="6" t="n">
        <f aca="false">IF(T422="Оплачено",1,0)</f>
        <v>0</v>
      </c>
      <c r="X422" s="6" t="n">
        <f aca="false">IF(OR(T422="Не дозвонились",Y422=0),0,1)</f>
        <v>1</v>
      </c>
      <c r="Y422" s="6" t="n">
        <v>1</v>
      </c>
      <c r="Z422" s="6"/>
      <c r="AA422" s="6"/>
      <c r="AB422" s="6" t="s">
        <v>1144</v>
      </c>
    </row>
    <row r="423" customFormat="false" ht="15" hidden="false" customHeight="false" outlineLevel="0" collapsed="false">
      <c r="A423" s="6" t="n">
        <v>422</v>
      </c>
      <c r="B423" s="6" t="s">
        <v>30</v>
      </c>
      <c r="C423" s="6" t="s">
        <v>1704</v>
      </c>
      <c r="D423" s="13" t="n">
        <v>46254</v>
      </c>
      <c r="E423" s="6" t="n">
        <f aca="false">MONTH(D423)</f>
        <v>8</v>
      </c>
      <c r="F423" s="6" t="s">
        <v>1705</v>
      </c>
      <c r="G423" s="6"/>
      <c r="H423" s="6" t="s">
        <v>96</v>
      </c>
      <c r="I423" s="6" t="s">
        <v>35</v>
      </c>
      <c r="J423" s="6" t="s">
        <v>142</v>
      </c>
      <c r="K423" s="6" t="s">
        <v>215</v>
      </c>
      <c r="L423" s="13"/>
      <c r="M423" s="6" t="n">
        <v>0</v>
      </c>
      <c r="N423" s="13"/>
      <c r="O423" s="6" t="n">
        <v>0</v>
      </c>
      <c r="P423" s="6"/>
      <c r="Q423" s="8"/>
      <c r="R423" s="6"/>
      <c r="S423" s="8" t="str">
        <f aca="false">IF(Q423="","",IF(R423="EUR",ROUND(Q423*Параметры!$B$3,0),Q423))</f>
        <v/>
      </c>
      <c r="T423" s="6" t="s">
        <v>80</v>
      </c>
      <c r="U423" s="6" t="s">
        <v>81</v>
      </c>
      <c r="V423" s="13"/>
      <c r="W423" s="6" t="n">
        <f aca="false">IF(T423="Оплачено",1,0)</f>
        <v>0</v>
      </c>
      <c r="X423" s="6" t="n">
        <f aca="false">IF(OR(T423="Не дозвонились",Y423=0),0,1)</f>
        <v>0</v>
      </c>
      <c r="Y423" s="6" t="n">
        <v>1</v>
      </c>
      <c r="Z423" s="6"/>
      <c r="AA423" s="6"/>
      <c r="AB423" s="6" t="s">
        <v>124</v>
      </c>
    </row>
    <row r="424" customFormat="false" ht="15" hidden="false" customHeight="false" outlineLevel="0" collapsed="false">
      <c r="A424" s="6" t="n">
        <v>423</v>
      </c>
      <c r="B424" s="6" t="s">
        <v>28</v>
      </c>
      <c r="C424" s="6" t="s">
        <v>1706</v>
      </c>
      <c r="D424" s="13" t="n">
        <v>46255</v>
      </c>
      <c r="E424" s="6" t="n">
        <f aca="false">MONTH(D424)</f>
        <v>8</v>
      </c>
      <c r="F424" s="6" t="s">
        <v>1707</v>
      </c>
      <c r="G424" s="6" t="s">
        <v>1708</v>
      </c>
      <c r="H424" s="6" t="s">
        <v>672</v>
      </c>
      <c r="I424" s="6" t="s">
        <v>34</v>
      </c>
      <c r="J424" s="6" t="s">
        <v>34</v>
      </c>
      <c r="K424" s="6" t="s">
        <v>104</v>
      </c>
      <c r="L424" s="13"/>
      <c r="M424" s="6" t="n">
        <v>0</v>
      </c>
      <c r="N424" s="13"/>
      <c r="O424" s="6" t="n">
        <v>0</v>
      </c>
      <c r="P424" s="6"/>
      <c r="Q424" s="8"/>
      <c r="R424" s="6"/>
      <c r="S424" s="8" t="str">
        <f aca="false">IF(Q424="","",IF(R424="EUR",ROUND(Q424*Параметры!$B$3,0),Q424))</f>
        <v/>
      </c>
      <c r="T424" s="6" t="s">
        <v>80</v>
      </c>
      <c r="U424" s="6" t="s">
        <v>163</v>
      </c>
      <c r="V424" s="13"/>
      <c r="W424" s="6" t="n">
        <f aca="false">IF(T424="Оплачено",1,0)</f>
        <v>0</v>
      </c>
      <c r="X424" s="6" t="n">
        <f aca="false">IF(OR(T424="Не дозвонились",Y424=0),0,1)</f>
        <v>0</v>
      </c>
      <c r="Y424" s="6" t="n">
        <v>1</v>
      </c>
      <c r="Z424" s="6"/>
      <c r="AA424" s="6"/>
      <c r="AB424" s="6"/>
    </row>
    <row r="425" customFormat="false" ht="15" hidden="false" customHeight="false" outlineLevel="0" collapsed="false">
      <c r="A425" s="6" t="n">
        <v>424</v>
      </c>
      <c r="B425" s="6" t="s">
        <v>28</v>
      </c>
      <c r="C425" s="6" t="s">
        <v>1709</v>
      </c>
      <c r="D425" s="13" t="n">
        <v>46255</v>
      </c>
      <c r="E425" s="6" t="n">
        <f aca="false">MONTH(D425)</f>
        <v>8</v>
      </c>
      <c r="F425" s="6" t="s">
        <v>1710</v>
      </c>
      <c r="G425" s="6" t="s">
        <v>1711</v>
      </c>
      <c r="H425" s="6" t="s">
        <v>103</v>
      </c>
      <c r="I425" s="6" t="s">
        <v>36</v>
      </c>
      <c r="J425" s="6" t="s">
        <v>36</v>
      </c>
      <c r="K425" s="6" t="s">
        <v>287</v>
      </c>
      <c r="L425" s="13" t="n">
        <v>46256</v>
      </c>
      <c r="M425" s="6" t="n">
        <v>1</v>
      </c>
      <c r="N425" s="13" t="n">
        <v>46257</v>
      </c>
      <c r="O425" s="6" t="n">
        <v>1</v>
      </c>
      <c r="P425" s="6" t="s">
        <v>1712</v>
      </c>
      <c r="Q425" s="8" t="n">
        <v>17300</v>
      </c>
      <c r="R425" s="6" t="s">
        <v>89</v>
      </c>
      <c r="S425" s="8" t="n">
        <f aca="false">IF(Q425="","",IF(R425="EUR",ROUND(Q425*Параметры!$B$3,0),Q425))</f>
        <v>17300</v>
      </c>
      <c r="T425" s="6" t="s">
        <v>15</v>
      </c>
      <c r="U425" s="6" t="s">
        <v>15</v>
      </c>
      <c r="V425" s="13" t="n">
        <v>46270</v>
      </c>
      <c r="W425" s="6" t="n">
        <f aca="false">IF(T425="Оплачено",1,0)</f>
        <v>1</v>
      </c>
      <c r="X425" s="6" t="n">
        <f aca="false">IF(OR(T425="Не дозвонились",Y425=0),0,1)</f>
        <v>1</v>
      </c>
      <c r="Y425" s="6" t="n">
        <v>1</v>
      </c>
      <c r="Z425" s="6"/>
      <c r="AA425" s="6"/>
      <c r="AB425" s="6" t="s">
        <v>226</v>
      </c>
    </row>
    <row r="426" customFormat="false" ht="15" hidden="false" customHeight="false" outlineLevel="0" collapsed="false">
      <c r="A426" s="6" t="n">
        <v>425</v>
      </c>
      <c r="B426" s="6" t="s">
        <v>28</v>
      </c>
      <c r="C426" s="6" t="s">
        <v>1713</v>
      </c>
      <c r="D426" s="13" t="n">
        <v>46255</v>
      </c>
      <c r="E426" s="6" t="n">
        <f aca="false">MONTH(D426)</f>
        <v>8</v>
      </c>
      <c r="F426" s="6" t="s">
        <v>1714</v>
      </c>
      <c r="G426" s="6" t="s">
        <v>1715</v>
      </c>
      <c r="H426" s="6" t="s">
        <v>197</v>
      </c>
      <c r="I426" s="6" t="s">
        <v>34</v>
      </c>
      <c r="J426" s="6" t="s">
        <v>34</v>
      </c>
      <c r="K426" s="6" t="s">
        <v>202</v>
      </c>
      <c r="L426" s="13" t="n">
        <v>46256</v>
      </c>
      <c r="M426" s="6" t="n">
        <v>1</v>
      </c>
      <c r="N426" s="13" t="n">
        <v>46257</v>
      </c>
      <c r="O426" s="6" t="n">
        <v>1</v>
      </c>
      <c r="P426" s="6" t="s">
        <v>1716</v>
      </c>
      <c r="Q426" s="8" t="n">
        <v>29100</v>
      </c>
      <c r="R426" s="6" t="s">
        <v>89</v>
      </c>
      <c r="S426" s="8" t="n">
        <f aca="false">IF(Q426="","",IF(R426="EUR",ROUND(Q426*Параметры!$B$3,0),Q426))</f>
        <v>29100</v>
      </c>
      <c r="T426" s="6" t="s">
        <v>71</v>
      </c>
      <c r="U426" s="6" t="s">
        <v>71</v>
      </c>
      <c r="V426" s="13"/>
      <c r="W426" s="6" t="n">
        <f aca="false">IF(T426="Оплачено",1,0)</f>
        <v>0</v>
      </c>
      <c r="X426" s="6" t="n">
        <f aca="false">IF(OR(T426="Не дозвонились",Y426=0),0,1)</f>
        <v>1</v>
      </c>
      <c r="Y426" s="6" t="n">
        <v>1</v>
      </c>
      <c r="Z426" s="6"/>
      <c r="AA426" s="6"/>
      <c r="AB426" s="6"/>
    </row>
    <row r="427" customFormat="false" ht="15" hidden="false" customHeight="false" outlineLevel="0" collapsed="false">
      <c r="A427" s="6" t="n">
        <v>426</v>
      </c>
      <c r="B427" s="6" t="s">
        <v>29</v>
      </c>
      <c r="C427" s="6" t="s">
        <v>1717</v>
      </c>
      <c r="D427" s="13" t="n">
        <v>46255</v>
      </c>
      <c r="E427" s="6" t="n">
        <f aca="false">MONTH(D427)</f>
        <v>8</v>
      </c>
      <c r="F427" s="6" t="s">
        <v>1718</v>
      </c>
      <c r="G427" s="6" t="s">
        <v>1719</v>
      </c>
      <c r="H427" s="6" t="s">
        <v>1068</v>
      </c>
      <c r="I427" s="6" t="s">
        <v>37</v>
      </c>
      <c r="J427" s="6" t="s">
        <v>115</v>
      </c>
      <c r="K427" s="6" t="s">
        <v>143</v>
      </c>
      <c r="L427" s="13" t="n">
        <v>46261</v>
      </c>
      <c r="M427" s="6" t="n">
        <v>1</v>
      </c>
      <c r="N427" s="13" t="n">
        <v>46266</v>
      </c>
      <c r="O427" s="6" t="n">
        <v>1</v>
      </c>
      <c r="P427" s="6" t="s">
        <v>1720</v>
      </c>
      <c r="Q427" s="8" t="n">
        <v>36400</v>
      </c>
      <c r="R427" s="6" t="s">
        <v>89</v>
      </c>
      <c r="S427" s="8" t="n">
        <f aca="false">IF(Q427="","",IF(R427="EUR",ROUND(Q427*Параметры!$B$3,0),Q427))</f>
        <v>36400</v>
      </c>
      <c r="T427" s="6" t="s">
        <v>90</v>
      </c>
      <c r="U427" s="6" t="s">
        <v>434</v>
      </c>
      <c r="V427" s="13"/>
      <c r="W427" s="6" t="n">
        <f aca="false">IF(T427="Оплачено",1,0)</f>
        <v>0</v>
      </c>
      <c r="X427" s="6" t="n">
        <f aca="false">IF(OR(T427="Не дозвонились",Y427=0),0,1)</f>
        <v>1</v>
      </c>
      <c r="Y427" s="6" t="n">
        <v>1</v>
      </c>
      <c r="Z427" s="6"/>
      <c r="AA427" s="6"/>
      <c r="AB427" s="6"/>
    </row>
    <row r="428" customFormat="false" ht="15" hidden="false" customHeight="false" outlineLevel="0" collapsed="false">
      <c r="A428" s="6" t="n">
        <v>427</v>
      </c>
      <c r="B428" s="6" t="s">
        <v>30</v>
      </c>
      <c r="C428" s="6" t="s">
        <v>1721</v>
      </c>
      <c r="D428" s="13" t="n">
        <v>46255</v>
      </c>
      <c r="E428" s="6" t="n">
        <f aca="false">MONTH(D428)</f>
        <v>8</v>
      </c>
      <c r="F428" s="6" t="s">
        <v>1194</v>
      </c>
      <c r="G428" s="6" t="s">
        <v>1722</v>
      </c>
      <c r="H428" s="6" t="s">
        <v>161</v>
      </c>
      <c r="I428" s="6" t="s">
        <v>34</v>
      </c>
      <c r="J428" s="6" t="s">
        <v>214</v>
      </c>
      <c r="K428" s="6" t="s">
        <v>79</v>
      </c>
      <c r="L428" s="13"/>
      <c r="M428" s="6" t="n">
        <v>0</v>
      </c>
      <c r="N428" s="13"/>
      <c r="O428" s="6" t="n">
        <v>0</v>
      </c>
      <c r="P428" s="6"/>
      <c r="Q428" s="8"/>
      <c r="R428" s="6"/>
      <c r="S428" s="8" t="str">
        <f aca="false">IF(Q428="","",IF(R428="EUR",ROUND(Q428*Параметры!$B$3,0),Q428))</f>
        <v/>
      </c>
      <c r="T428" s="6" t="s">
        <v>150</v>
      </c>
      <c r="U428" s="6" t="s">
        <v>151</v>
      </c>
      <c r="V428" s="13"/>
      <c r="W428" s="6" t="n">
        <f aca="false">IF(T428="Оплачено",1,0)</f>
        <v>0</v>
      </c>
      <c r="X428" s="6" t="n">
        <f aca="false">IF(OR(T428="Не дозвонились",Y428=0),0,1)</f>
        <v>1</v>
      </c>
      <c r="Y428" s="6" t="n">
        <v>1</v>
      </c>
      <c r="Z428" s="6"/>
      <c r="AA428" s="6"/>
      <c r="AB428" s="6" t="s">
        <v>1723</v>
      </c>
    </row>
    <row r="429" customFormat="false" ht="15" hidden="false" customHeight="false" outlineLevel="0" collapsed="false">
      <c r="A429" s="6" t="n">
        <v>428</v>
      </c>
      <c r="B429" s="6" t="s">
        <v>30</v>
      </c>
      <c r="C429" s="6" t="s">
        <v>1724</v>
      </c>
      <c r="D429" s="13" t="n">
        <v>46255</v>
      </c>
      <c r="E429" s="6" t="n">
        <f aca="false">MONTH(D429)</f>
        <v>8</v>
      </c>
      <c r="F429" s="6" t="s">
        <v>1725</v>
      </c>
      <c r="G429" s="6" t="s">
        <v>1726</v>
      </c>
      <c r="H429" s="6" t="s">
        <v>191</v>
      </c>
      <c r="I429" s="6" t="s">
        <v>34</v>
      </c>
      <c r="J429" s="6" t="s">
        <v>132</v>
      </c>
      <c r="K429" s="6" t="s">
        <v>666</v>
      </c>
      <c r="L429" s="13"/>
      <c r="M429" s="6" t="n">
        <v>0</v>
      </c>
      <c r="N429" s="13"/>
      <c r="O429" s="6" t="n">
        <v>0</v>
      </c>
      <c r="P429" s="6"/>
      <c r="Q429" s="8"/>
      <c r="R429" s="6"/>
      <c r="S429" s="8" t="str">
        <f aca="false">IF(Q429="","",IF(R429="EUR",ROUND(Q429*Параметры!$B$3,0),Q429))</f>
        <v/>
      </c>
      <c r="T429" s="6" t="s">
        <v>150</v>
      </c>
      <c r="U429" s="6" t="s">
        <v>151</v>
      </c>
      <c r="V429" s="13"/>
      <c r="W429" s="6" t="n">
        <f aca="false">IF(T429="Оплачено",1,0)</f>
        <v>0</v>
      </c>
      <c r="X429" s="6" t="n">
        <f aca="false">IF(OR(T429="Не дозвонились",Y429=0),0,1)</f>
        <v>1</v>
      </c>
      <c r="Y429" s="6" t="n">
        <v>1</v>
      </c>
      <c r="Z429" s="6"/>
      <c r="AA429" s="6"/>
      <c r="AB429" s="6"/>
    </row>
    <row r="430" customFormat="false" ht="15" hidden="false" customHeight="false" outlineLevel="0" collapsed="false">
      <c r="A430" s="6" t="n">
        <v>429</v>
      </c>
      <c r="B430" s="6" t="s">
        <v>30</v>
      </c>
      <c r="C430" s="6" t="s">
        <v>1727</v>
      </c>
      <c r="D430" s="13" t="n">
        <v>46255</v>
      </c>
      <c r="E430" s="6" t="n">
        <f aca="false">MONTH(D430)</f>
        <v>8</v>
      </c>
      <c r="F430" s="6" t="s">
        <v>593</v>
      </c>
      <c r="G430" s="6" t="s">
        <v>1728</v>
      </c>
      <c r="H430" s="6" t="s">
        <v>324</v>
      </c>
      <c r="I430" s="6" t="s">
        <v>35</v>
      </c>
      <c r="J430" s="6" t="s">
        <v>276</v>
      </c>
      <c r="K430" s="6" t="s">
        <v>536</v>
      </c>
      <c r="L430" s="13"/>
      <c r="M430" s="6" t="n">
        <v>0</v>
      </c>
      <c r="N430" s="13"/>
      <c r="O430" s="6" t="n">
        <v>0</v>
      </c>
      <c r="P430" s="6"/>
      <c r="Q430" s="8"/>
      <c r="R430" s="6"/>
      <c r="S430" s="8" t="str">
        <f aca="false">IF(Q430="","",IF(R430="EUR",ROUND(Q430*Параметры!$B$3,0),Q430))</f>
        <v/>
      </c>
      <c r="T430" s="6" t="s">
        <v>150</v>
      </c>
      <c r="U430" s="6" t="s">
        <v>151</v>
      </c>
      <c r="V430" s="13"/>
      <c r="W430" s="6" t="n">
        <f aca="false">IF(T430="Оплачено",1,0)</f>
        <v>0</v>
      </c>
      <c r="X430" s="6" t="n">
        <f aca="false">IF(OR(T430="Не дозвонились",Y430=0),0,1)</f>
        <v>1</v>
      </c>
      <c r="Y430" s="6" t="n">
        <v>1</v>
      </c>
      <c r="Z430" s="6"/>
      <c r="AA430" s="6"/>
      <c r="AB430" s="6"/>
    </row>
    <row r="431" customFormat="false" ht="15" hidden="false" customHeight="false" outlineLevel="0" collapsed="false">
      <c r="A431" s="6" t="n">
        <v>430</v>
      </c>
      <c r="B431" s="6" t="s">
        <v>30</v>
      </c>
      <c r="C431" s="6" t="s">
        <v>1729</v>
      </c>
      <c r="D431" s="13" t="n">
        <v>46255</v>
      </c>
      <c r="E431" s="6" t="n">
        <f aca="false">MONTH(D431)</f>
        <v>8</v>
      </c>
      <c r="F431" s="6" t="s">
        <v>1730</v>
      </c>
      <c r="G431" s="6" t="s">
        <v>1731</v>
      </c>
      <c r="H431" s="6" t="s">
        <v>243</v>
      </c>
      <c r="I431" s="6" t="s">
        <v>35</v>
      </c>
      <c r="J431" s="6" t="s">
        <v>276</v>
      </c>
      <c r="K431" s="6" t="s">
        <v>881</v>
      </c>
      <c r="L431" s="13" t="n">
        <v>46262</v>
      </c>
      <c r="M431" s="6" t="n">
        <v>1</v>
      </c>
      <c r="N431" s="13" t="n">
        <v>46264</v>
      </c>
      <c r="O431" s="6" t="n">
        <v>1</v>
      </c>
      <c r="P431" s="6" t="s">
        <v>1732</v>
      </c>
      <c r="Q431" s="8" t="n">
        <v>50500</v>
      </c>
      <c r="R431" s="6" t="s">
        <v>89</v>
      </c>
      <c r="S431" s="8" t="n">
        <f aca="false">IF(Q431="","",IF(R431="EUR",ROUND(Q431*Параметры!$B$3,0),Q431))</f>
        <v>50500</v>
      </c>
      <c r="T431" s="6" t="s">
        <v>90</v>
      </c>
      <c r="U431" s="6" t="s">
        <v>91</v>
      </c>
      <c r="V431" s="13"/>
      <c r="W431" s="6" t="n">
        <f aca="false">IF(T431="Оплачено",1,0)</f>
        <v>0</v>
      </c>
      <c r="X431" s="6" t="n">
        <f aca="false">IF(OR(T431="Не дозвонились",Y431=0),0,1)</f>
        <v>1</v>
      </c>
      <c r="Y431" s="6" t="n">
        <v>1</v>
      </c>
      <c r="Z431" s="6"/>
      <c r="AA431" s="6" t="s">
        <v>1733</v>
      </c>
      <c r="AB431" s="6"/>
    </row>
    <row r="432" customFormat="false" ht="15" hidden="false" customHeight="false" outlineLevel="0" collapsed="false">
      <c r="A432" s="6" t="n">
        <v>431</v>
      </c>
      <c r="B432" s="6" t="s">
        <v>28</v>
      </c>
      <c r="C432" s="6" t="s">
        <v>1734</v>
      </c>
      <c r="D432" s="13" t="n">
        <v>46256</v>
      </c>
      <c r="E432" s="6" t="n">
        <f aca="false">MONTH(D432)</f>
        <v>8</v>
      </c>
      <c r="F432" s="6" t="s">
        <v>1735</v>
      </c>
      <c r="G432" s="6" t="s">
        <v>1736</v>
      </c>
      <c r="H432" s="6" t="s">
        <v>155</v>
      </c>
      <c r="I432" s="6" t="s">
        <v>38</v>
      </c>
      <c r="J432" s="6" t="s">
        <v>38</v>
      </c>
      <c r="K432" s="6" t="s">
        <v>162</v>
      </c>
      <c r="L432" s="13"/>
      <c r="M432" s="6" t="n">
        <v>0</v>
      </c>
      <c r="N432" s="13"/>
      <c r="O432" s="6" t="n">
        <v>0</v>
      </c>
      <c r="P432" s="6"/>
      <c r="Q432" s="8"/>
      <c r="R432" s="6"/>
      <c r="S432" s="8" t="str">
        <f aca="false">IF(Q432="","",IF(R432="EUR",ROUND(Q432*Параметры!$B$3,0),Q432))</f>
        <v/>
      </c>
      <c r="T432" s="6" t="s">
        <v>71</v>
      </c>
      <c r="U432" s="6" t="s">
        <v>71</v>
      </c>
      <c r="V432" s="13"/>
      <c r="W432" s="6" t="n">
        <f aca="false">IF(T432="Оплачено",1,0)</f>
        <v>0</v>
      </c>
      <c r="X432" s="6" t="n">
        <f aca="false">IF(OR(T432="Не дозвонились",Y432=0),0,1)</f>
        <v>1</v>
      </c>
      <c r="Y432" s="6" t="n">
        <v>1</v>
      </c>
      <c r="Z432" s="6"/>
      <c r="AA432" s="6"/>
      <c r="AB432" s="6" t="s">
        <v>209</v>
      </c>
    </row>
    <row r="433" customFormat="false" ht="15" hidden="false" customHeight="false" outlineLevel="0" collapsed="false">
      <c r="A433" s="6" t="n">
        <v>432</v>
      </c>
      <c r="B433" s="6" t="s">
        <v>28</v>
      </c>
      <c r="C433" s="6" t="s">
        <v>1737</v>
      </c>
      <c r="D433" s="13" t="n">
        <v>46256</v>
      </c>
      <c r="E433" s="6" t="n">
        <f aca="false">MONTH(D433)</f>
        <v>8</v>
      </c>
      <c r="F433" s="6" t="s">
        <v>1738</v>
      </c>
      <c r="G433" s="6" t="s">
        <v>1739</v>
      </c>
      <c r="H433" s="6" t="s">
        <v>103</v>
      </c>
      <c r="I433" s="6" t="s">
        <v>35</v>
      </c>
      <c r="J433" s="6" t="s">
        <v>35</v>
      </c>
      <c r="K433" s="6" t="s">
        <v>202</v>
      </c>
      <c r="L433" s="13" t="n">
        <v>46257</v>
      </c>
      <c r="M433" s="6" t="n">
        <v>1</v>
      </c>
      <c r="N433" s="13" t="n">
        <v>46264</v>
      </c>
      <c r="O433" s="6" t="n">
        <v>1</v>
      </c>
      <c r="P433" s="6" t="s">
        <v>1740</v>
      </c>
      <c r="Q433" s="8" t="n">
        <v>38800</v>
      </c>
      <c r="R433" s="6" t="s">
        <v>89</v>
      </c>
      <c r="S433" s="8" t="n">
        <f aca="false">IF(Q433="","",IF(R433="EUR",ROUND(Q433*Параметры!$B$3,0),Q433))</f>
        <v>38800</v>
      </c>
      <c r="T433" s="6" t="s">
        <v>90</v>
      </c>
      <c r="U433" s="6" t="s">
        <v>90</v>
      </c>
      <c r="V433" s="13"/>
      <c r="W433" s="6" t="n">
        <f aca="false">IF(T433="Оплачено",1,0)</f>
        <v>0</v>
      </c>
      <c r="X433" s="6" t="n">
        <f aca="false">IF(OR(T433="Не дозвонились",Y433=0),0,1)</f>
        <v>1</v>
      </c>
      <c r="Y433" s="6" t="n">
        <v>1</v>
      </c>
      <c r="Z433" s="6"/>
      <c r="AA433" s="6"/>
      <c r="AB433" s="6"/>
    </row>
    <row r="434" customFormat="false" ht="15" hidden="false" customHeight="false" outlineLevel="0" collapsed="false">
      <c r="A434" s="6" t="n">
        <v>433</v>
      </c>
      <c r="B434" s="6" t="s">
        <v>29</v>
      </c>
      <c r="C434" s="6" t="s">
        <v>1741</v>
      </c>
      <c r="D434" s="13" t="n">
        <v>46256</v>
      </c>
      <c r="E434" s="6" t="n">
        <f aca="false">MONTH(D434)</f>
        <v>8</v>
      </c>
      <c r="F434" s="6" t="s">
        <v>1742</v>
      </c>
      <c r="G434" s="6" t="s">
        <v>1743</v>
      </c>
      <c r="H434" s="6" t="s">
        <v>96</v>
      </c>
      <c r="I434" s="6" t="s">
        <v>34</v>
      </c>
      <c r="J434" s="6" t="s">
        <v>383</v>
      </c>
      <c r="K434" s="6" t="s">
        <v>239</v>
      </c>
      <c r="L434" s="13"/>
      <c r="M434" s="6" t="n">
        <v>0</v>
      </c>
      <c r="N434" s="13"/>
      <c r="O434" s="6" t="n">
        <v>0</v>
      </c>
      <c r="P434" s="6"/>
      <c r="Q434" s="8"/>
      <c r="R434" s="6"/>
      <c r="S434" s="8" t="str">
        <f aca="false">IF(Q434="","",IF(R434="EUR",ROUND(Q434*Параметры!$B$3,0),Q434))</f>
        <v/>
      </c>
      <c r="T434" s="6" t="s">
        <v>71</v>
      </c>
      <c r="U434" s="6" t="s">
        <v>72</v>
      </c>
      <c r="V434" s="13"/>
      <c r="W434" s="6" t="n">
        <f aca="false">IF(T434="Оплачено",1,0)</f>
        <v>0</v>
      </c>
      <c r="X434" s="6" t="n">
        <f aca="false">IF(OR(T434="Не дозвонились",Y434=0),0,1)</f>
        <v>1</v>
      </c>
      <c r="Y434" s="6" t="n">
        <v>1</v>
      </c>
      <c r="Z434" s="6"/>
      <c r="AA434" s="6"/>
      <c r="AB434" s="6" t="s">
        <v>180</v>
      </c>
    </row>
    <row r="435" customFormat="false" ht="15" hidden="false" customHeight="false" outlineLevel="0" collapsed="false">
      <c r="A435" s="6" t="n">
        <v>434</v>
      </c>
      <c r="B435" s="6" t="s">
        <v>30</v>
      </c>
      <c r="C435" s="6" t="s">
        <v>1744</v>
      </c>
      <c r="D435" s="13" t="n">
        <v>46256</v>
      </c>
      <c r="E435" s="6" t="n">
        <f aca="false">MONTH(D435)</f>
        <v>8</v>
      </c>
      <c r="F435" s="6" t="s">
        <v>1463</v>
      </c>
      <c r="G435" s="6" t="s">
        <v>1745</v>
      </c>
      <c r="H435" s="6" t="s">
        <v>147</v>
      </c>
      <c r="I435" s="6" t="s">
        <v>38</v>
      </c>
      <c r="J435" s="6" t="s">
        <v>219</v>
      </c>
      <c r="K435" s="6" t="s">
        <v>87</v>
      </c>
      <c r="L435" s="13"/>
      <c r="M435" s="6" t="n">
        <v>0</v>
      </c>
      <c r="N435" s="13"/>
      <c r="O435" s="6" t="n">
        <v>0</v>
      </c>
      <c r="P435" s="6"/>
      <c r="Q435" s="8"/>
      <c r="R435" s="6"/>
      <c r="S435" s="8" t="str">
        <f aca="false">IF(Q435="","",IF(R435="EUR",ROUND(Q435*Параметры!$B$3,0),Q435))</f>
        <v/>
      </c>
      <c r="T435" s="6" t="s">
        <v>71</v>
      </c>
      <c r="U435" s="6" t="s">
        <v>225</v>
      </c>
      <c r="V435" s="13"/>
      <c r="W435" s="6" t="n">
        <f aca="false">IF(T435="Оплачено",1,0)</f>
        <v>0</v>
      </c>
      <c r="X435" s="6" t="n">
        <f aca="false">IF(OR(T435="Не дозвонились",Y435=0),0,1)</f>
        <v>1</v>
      </c>
      <c r="Y435" s="6" t="n">
        <v>1</v>
      </c>
      <c r="Z435" s="6"/>
      <c r="AA435" s="6"/>
      <c r="AB435" s="6" t="s">
        <v>180</v>
      </c>
    </row>
    <row r="436" customFormat="false" ht="15" hidden="false" customHeight="false" outlineLevel="0" collapsed="false">
      <c r="A436" s="6" t="n">
        <v>435</v>
      </c>
      <c r="B436" s="6" t="s">
        <v>29</v>
      </c>
      <c r="C436" s="6" t="s">
        <v>1746</v>
      </c>
      <c r="D436" s="13" t="n">
        <v>46257</v>
      </c>
      <c r="E436" s="6" t="n">
        <f aca="false">MONTH(D436)</f>
        <v>8</v>
      </c>
      <c r="F436" s="6" t="s">
        <v>1747</v>
      </c>
      <c r="G436" s="6" t="s">
        <v>1748</v>
      </c>
      <c r="H436" s="6" t="s">
        <v>387</v>
      </c>
      <c r="I436" s="6" t="s">
        <v>37</v>
      </c>
      <c r="J436" s="6" t="s">
        <v>115</v>
      </c>
      <c r="K436" s="6" t="s">
        <v>1749</v>
      </c>
      <c r="L436" s="13"/>
      <c r="M436" s="6" t="n">
        <v>0</v>
      </c>
      <c r="N436" s="13"/>
      <c r="O436" s="6" t="n">
        <v>0</v>
      </c>
      <c r="P436" s="6"/>
      <c r="Q436" s="8"/>
      <c r="R436" s="6"/>
      <c r="S436" s="8" t="str">
        <f aca="false">IF(Q436="","",IF(R436="EUR",ROUND(Q436*Параметры!$B$3,0),Q436))</f>
        <v/>
      </c>
      <c r="T436" s="6" t="s">
        <v>71</v>
      </c>
      <c r="U436" s="6" t="s">
        <v>72</v>
      </c>
      <c r="V436" s="13"/>
      <c r="W436" s="6" t="n">
        <f aca="false">IF(T436="Оплачено",1,0)</f>
        <v>0</v>
      </c>
      <c r="X436" s="6" t="n">
        <f aca="false">IF(OR(T436="Не дозвонились",Y436=0),0,1)</f>
        <v>1</v>
      </c>
      <c r="Y436" s="6" t="n">
        <v>1</v>
      </c>
      <c r="Z436" s="6"/>
      <c r="AA436" s="6"/>
      <c r="AB43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  <col collapsed="false" customWidth="true" hidden="false" outlineLevel="0" max="3" min="3" style="0" width="24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1750</v>
      </c>
    </row>
    <row r="3" customFormat="false" ht="23.85" hidden="false" customHeight="false" outlineLevel="0" collapsed="false">
      <c r="A3" s="17" t="s">
        <v>1751</v>
      </c>
      <c r="B3" s="18" t="s">
        <v>1752</v>
      </c>
    </row>
    <row r="4" customFormat="false" ht="15" hidden="false" customHeight="false" outlineLevel="0" collapsed="false">
      <c r="A4" s="17" t="s">
        <v>1753</v>
      </c>
      <c r="B4" s="18" t="s">
        <v>1754</v>
      </c>
    </row>
    <row r="5" customFormat="false" ht="15" hidden="false" customHeight="false" outlineLevel="0" collapsed="false">
      <c r="A5" s="17" t="s">
        <v>1755</v>
      </c>
      <c r="B5" s="18" t="s">
        <v>1756</v>
      </c>
    </row>
    <row r="6" customFormat="false" ht="23.85" hidden="false" customHeight="false" outlineLevel="0" collapsed="false">
      <c r="A6" s="17" t="s">
        <v>1757</v>
      </c>
      <c r="B6" s="18" t="s">
        <v>1758</v>
      </c>
    </row>
    <row r="7" customFormat="false" ht="15" hidden="false" customHeight="false" outlineLevel="0" collapsed="false">
      <c r="A7" s="17" t="s">
        <v>1759</v>
      </c>
      <c r="B7" s="18" t="s">
        <v>1760</v>
      </c>
    </row>
    <row r="8" customFormat="false" ht="15" hidden="false" customHeight="false" outlineLevel="0" collapsed="false">
      <c r="A8" s="17" t="s">
        <v>1761</v>
      </c>
      <c r="B8" s="18" t="s">
        <v>1762</v>
      </c>
    </row>
    <row r="9" customFormat="false" ht="15" hidden="false" customHeight="false" outlineLevel="0" collapsed="false">
      <c r="A9" s="17" t="s">
        <v>1763</v>
      </c>
      <c r="B9" s="18" t="s">
        <v>1764</v>
      </c>
    </row>
    <row r="10" customFormat="false" ht="23.85" hidden="false" customHeight="false" outlineLevel="0" collapsed="false">
      <c r="A10" s="17" t="s">
        <v>1765</v>
      </c>
      <c r="B10" s="18" t="s">
        <v>1766</v>
      </c>
    </row>
    <row r="11" customFormat="false" ht="23.85" hidden="false" customHeight="false" outlineLevel="0" collapsed="false">
      <c r="A11" s="17" t="s">
        <v>1767</v>
      </c>
      <c r="B11" s="18" t="s">
        <v>1768</v>
      </c>
    </row>
    <row r="12" customFormat="false" ht="23.85" hidden="false" customHeight="false" outlineLevel="0" collapsed="false">
      <c r="A12" s="17" t="s">
        <v>1769</v>
      </c>
      <c r="B12" s="18" t="s">
        <v>1770</v>
      </c>
    </row>
    <row r="13" customFormat="false" ht="15" hidden="false" customHeight="false" outlineLevel="0" collapsed="false">
      <c r="A13" s="17" t="s">
        <v>1771</v>
      </c>
      <c r="B13" s="18" t="s">
        <v>1772</v>
      </c>
    </row>
    <row r="16" customFormat="false" ht="15" hidden="false" customHeight="false" outlineLevel="0" collapsed="false">
      <c r="A16" s="3" t="s">
        <v>1773</v>
      </c>
    </row>
    <row r="17" customFormat="false" ht="15" hidden="false" customHeight="false" outlineLevel="0" collapsed="false">
      <c r="A17" s="19" t="s">
        <v>42</v>
      </c>
      <c r="B17" s="19" t="s">
        <v>1774</v>
      </c>
      <c r="C17" s="19" t="s">
        <v>46</v>
      </c>
      <c r="D17" s="19" t="s">
        <v>58</v>
      </c>
      <c r="E17" s="19" t="s">
        <v>1775</v>
      </c>
    </row>
    <row r="18" customFormat="false" ht="15" hidden="false" customHeight="false" outlineLevel="0" collapsed="false">
      <c r="A18" s="6" t="s">
        <v>28</v>
      </c>
      <c r="B18" s="6" t="n">
        <v>31</v>
      </c>
      <c r="C18" s="6" t="s">
        <v>424</v>
      </c>
      <c r="D18" s="6" t="s">
        <v>428</v>
      </c>
      <c r="E18" s="6" t="s">
        <v>429</v>
      </c>
    </row>
    <row r="19" customFormat="false" ht="15" hidden="false" customHeight="false" outlineLevel="0" collapsed="false">
      <c r="A19" s="6" t="s">
        <v>29</v>
      </c>
      <c r="B19" s="6" t="n">
        <v>34</v>
      </c>
      <c r="C19" s="6" t="s">
        <v>496</v>
      </c>
      <c r="D19" s="6" t="s">
        <v>498</v>
      </c>
      <c r="E19" s="6" t="s">
        <v>499</v>
      </c>
    </row>
    <row r="20" customFormat="false" ht="15" hidden="false" customHeight="false" outlineLevel="0" collapsed="false">
      <c r="A20" s="6" t="s">
        <v>28</v>
      </c>
      <c r="B20" s="6" t="n">
        <v>54</v>
      </c>
      <c r="C20" s="6" t="s">
        <v>685</v>
      </c>
      <c r="D20" s="6" t="s">
        <v>163</v>
      </c>
      <c r="E20" s="6" t="s">
        <v>687</v>
      </c>
    </row>
    <row r="21" customFormat="false" ht="15" hidden="false" customHeight="false" outlineLevel="0" collapsed="false">
      <c r="A21" s="6" t="s">
        <v>29</v>
      </c>
      <c r="B21" s="6" t="n">
        <v>49</v>
      </c>
      <c r="C21" s="6" t="s">
        <v>689</v>
      </c>
      <c r="D21" s="6" t="s">
        <v>72</v>
      </c>
      <c r="E21" s="6" t="s">
        <v>699</v>
      </c>
    </row>
    <row r="22" customFormat="false" ht="15" hidden="false" customHeight="false" outlineLevel="0" collapsed="false">
      <c r="A22" s="6" t="s">
        <v>30</v>
      </c>
      <c r="B22" s="6" t="n">
        <v>48</v>
      </c>
      <c r="C22" s="6" t="s">
        <v>714</v>
      </c>
      <c r="D22" s="6" t="s">
        <v>151</v>
      </c>
      <c r="E22" s="6" t="s">
        <v>718</v>
      </c>
    </row>
    <row r="23" customFormat="false" ht="15" hidden="false" customHeight="false" outlineLevel="0" collapsed="false">
      <c r="A23" s="6" t="s">
        <v>29</v>
      </c>
      <c r="B23" s="6" t="n">
        <v>51</v>
      </c>
      <c r="C23" s="6" t="s">
        <v>677</v>
      </c>
      <c r="D23" s="6" t="s">
        <v>117</v>
      </c>
      <c r="E23" s="6" t="s">
        <v>733</v>
      </c>
    </row>
    <row r="24" customFormat="false" ht="15" hidden="false" customHeight="false" outlineLevel="0" collapsed="false">
      <c r="A24" s="6" t="s">
        <v>30</v>
      </c>
      <c r="B24" s="6" t="n">
        <v>73</v>
      </c>
      <c r="C24" s="6" t="s">
        <v>931</v>
      </c>
      <c r="D24" s="6" t="s">
        <v>151</v>
      </c>
      <c r="E24" s="6" t="s">
        <v>935</v>
      </c>
    </row>
    <row r="25" customFormat="false" ht="15" hidden="false" customHeight="false" outlineLevel="0" collapsed="false">
      <c r="A25" s="6" t="s">
        <v>28</v>
      </c>
      <c r="B25" s="6" t="n">
        <v>80</v>
      </c>
      <c r="C25" s="6" t="s">
        <v>941</v>
      </c>
      <c r="D25" s="6" t="s">
        <v>71</v>
      </c>
      <c r="E25" s="6" t="s">
        <v>948</v>
      </c>
    </row>
    <row r="26" customFormat="false" ht="15" hidden="false" customHeight="false" outlineLevel="0" collapsed="false">
      <c r="A26" s="6" t="s">
        <v>30</v>
      </c>
      <c r="B26" s="6" t="n">
        <v>75</v>
      </c>
      <c r="C26" s="6" t="s">
        <v>981</v>
      </c>
      <c r="D26" s="6" t="s">
        <v>982</v>
      </c>
      <c r="E26" s="6" t="s">
        <v>983</v>
      </c>
    </row>
    <row r="27" customFormat="false" ht="15" hidden="false" customHeight="false" outlineLevel="0" collapsed="false">
      <c r="A27" s="6" t="s">
        <v>29</v>
      </c>
      <c r="B27" s="6" t="n">
        <v>77</v>
      </c>
      <c r="C27" s="6" t="s">
        <v>1039</v>
      </c>
      <c r="D27" s="6" t="s">
        <v>1040</v>
      </c>
      <c r="E27" s="6" t="s">
        <v>1041</v>
      </c>
    </row>
    <row r="28" customFormat="false" ht="15" hidden="false" customHeight="false" outlineLevel="0" collapsed="false">
      <c r="A28" s="6" t="s">
        <v>28</v>
      </c>
      <c r="B28" s="6" t="n">
        <v>95</v>
      </c>
      <c r="C28" s="6" t="s">
        <v>1049</v>
      </c>
      <c r="D28" s="6" t="s">
        <v>71</v>
      </c>
      <c r="E28" s="6" t="s">
        <v>1053</v>
      </c>
    </row>
    <row r="29" customFormat="false" ht="15" hidden="false" customHeight="false" outlineLevel="0" collapsed="false">
      <c r="A29" s="6" t="s">
        <v>30</v>
      </c>
      <c r="B29" s="6" t="n">
        <v>100</v>
      </c>
      <c r="C29" s="6" t="s">
        <v>1268</v>
      </c>
      <c r="D29" s="6" t="s">
        <v>982</v>
      </c>
      <c r="E29" s="6" t="s">
        <v>1320</v>
      </c>
    </row>
    <row r="30" customFormat="false" ht="15" hidden="false" customHeight="false" outlineLevel="0" collapsed="false">
      <c r="A30" s="6" t="s">
        <v>28</v>
      </c>
      <c r="B30" s="6" t="n">
        <v>128</v>
      </c>
      <c r="C30" s="6" t="s">
        <v>1355</v>
      </c>
      <c r="D30" s="6" t="s">
        <v>428</v>
      </c>
      <c r="E30" s="6" t="s">
        <v>1357</v>
      </c>
    </row>
    <row r="31" customFormat="false" ht="15" hidden="false" customHeight="false" outlineLevel="0" collapsed="false">
      <c r="A31" s="6" t="s">
        <v>30</v>
      </c>
      <c r="B31" s="6" t="n">
        <v>113</v>
      </c>
      <c r="C31" s="6" t="s">
        <v>1437</v>
      </c>
      <c r="D31" s="6" t="s">
        <v>1438</v>
      </c>
      <c r="E31" s="6" t="s">
        <v>1439</v>
      </c>
    </row>
    <row r="32" customFormat="false" ht="15" hidden="false" customHeight="false" outlineLevel="0" collapsed="false">
      <c r="A32" s="6" t="s">
        <v>29</v>
      </c>
      <c r="B32" s="6" t="n">
        <v>123</v>
      </c>
      <c r="C32" s="6" t="s">
        <v>1486</v>
      </c>
      <c r="D32" s="6" t="s">
        <v>621</v>
      </c>
      <c r="E32" s="6" t="s">
        <v>1495</v>
      </c>
    </row>
    <row r="33" customFormat="false" ht="15" hidden="false" customHeight="false" outlineLevel="0" collapsed="false">
      <c r="A33" s="6" t="s">
        <v>30</v>
      </c>
      <c r="B33" s="6" t="n">
        <v>130</v>
      </c>
      <c r="C33" s="6" t="s">
        <v>1567</v>
      </c>
      <c r="D33" s="6" t="s">
        <v>1109</v>
      </c>
      <c r="E33" s="6" t="s">
        <v>1572</v>
      </c>
    </row>
    <row r="34" customFormat="false" ht="15" hidden="false" customHeight="false" outlineLevel="0" collapsed="false">
      <c r="A34" s="6" t="s">
        <v>29</v>
      </c>
      <c r="B34" s="6" t="n">
        <v>129</v>
      </c>
      <c r="C34" s="6" t="s">
        <v>1586</v>
      </c>
      <c r="D34" s="6" t="s">
        <v>498</v>
      </c>
      <c r="E34" s="6" t="s">
        <v>1587</v>
      </c>
    </row>
    <row r="35" customFormat="false" ht="15" hidden="false" customHeight="false" outlineLevel="0" collapsed="false">
      <c r="A35" s="6" t="s">
        <v>30</v>
      </c>
      <c r="B35" s="6" t="n">
        <v>128</v>
      </c>
      <c r="C35" s="6" t="s">
        <v>1589</v>
      </c>
      <c r="D35" s="6" t="s">
        <v>1040</v>
      </c>
      <c r="E35" s="6" t="s">
        <v>1590</v>
      </c>
    </row>
    <row r="36" customFormat="false" ht="15" hidden="false" customHeight="false" outlineLevel="0" collapsed="false">
      <c r="A36" s="6" t="s">
        <v>28</v>
      </c>
      <c r="B36" s="6" t="n">
        <v>149</v>
      </c>
      <c r="C36" s="6" t="s">
        <v>1622</v>
      </c>
      <c r="D36" s="6" t="s">
        <v>163</v>
      </c>
      <c r="E36" s="6" t="s">
        <v>1623</v>
      </c>
    </row>
    <row r="37" customFormat="false" ht="15" hidden="false" customHeight="false" outlineLevel="0" collapsed="false">
      <c r="A37" s="6" t="s">
        <v>28</v>
      </c>
      <c r="B37" s="6" t="n">
        <v>154</v>
      </c>
      <c r="C37" s="6" t="s">
        <v>1657</v>
      </c>
      <c r="D37" s="6" t="s">
        <v>71</v>
      </c>
      <c r="E37" s="6" t="s">
        <v>1661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1776</v>
      </c>
    </row>
    <row r="3" customFormat="false" ht="15" hidden="false" customHeight="false" outlineLevel="0" collapsed="false">
      <c r="A3" s="3" t="s">
        <v>1777</v>
      </c>
      <c r="B3" s="20" t="n">
        <v>20.1396</v>
      </c>
      <c r="C3" s="6" t="s">
        <v>1778</v>
      </c>
    </row>
    <row r="5" customFormat="false" ht="15" hidden="false" customHeight="false" outlineLevel="0" collapsed="false">
      <c r="A5" s="3" t="s">
        <v>1779</v>
      </c>
    </row>
    <row r="6" customFormat="false" ht="15" hidden="false" customHeight="false" outlineLevel="0" collapsed="false">
      <c r="A6" s="3" t="s">
        <v>15</v>
      </c>
      <c r="B6" s="6" t="s">
        <v>1780</v>
      </c>
    </row>
    <row r="7" customFormat="false" ht="15" hidden="false" customHeight="false" outlineLevel="0" collapsed="false">
      <c r="A7" s="3" t="s">
        <v>956</v>
      </c>
      <c r="B7" s="6" t="s">
        <v>1781</v>
      </c>
    </row>
    <row r="8" customFormat="false" ht="15" hidden="false" customHeight="false" outlineLevel="0" collapsed="false">
      <c r="A8" s="3" t="s">
        <v>90</v>
      </c>
      <c r="B8" s="6" t="s">
        <v>1782</v>
      </c>
    </row>
    <row r="9" customFormat="false" ht="15" hidden="false" customHeight="false" outlineLevel="0" collapsed="false">
      <c r="A9" s="3" t="s">
        <v>71</v>
      </c>
      <c r="B9" s="6" t="s">
        <v>1783</v>
      </c>
    </row>
    <row r="10" customFormat="false" ht="15" hidden="false" customHeight="false" outlineLevel="0" collapsed="false">
      <c r="A10" s="3" t="s">
        <v>150</v>
      </c>
      <c r="B10" s="6" t="s">
        <v>1784</v>
      </c>
    </row>
    <row r="11" customFormat="false" ht="15" hidden="false" customHeight="false" outlineLevel="0" collapsed="false">
      <c r="A11" s="3" t="s">
        <v>80</v>
      </c>
      <c r="B11" s="6" t="s">
        <v>1785</v>
      </c>
    </row>
    <row r="12" customFormat="false" ht="15" hidden="false" customHeight="false" outlineLevel="0" collapsed="false">
      <c r="A12" s="3" t="s">
        <v>1786</v>
      </c>
      <c r="B12" s="6" t="s">
        <v>1787</v>
      </c>
    </row>
    <row r="14" customFormat="false" ht="15" hidden="false" customHeight="false" outlineLevel="0" collapsed="false">
      <c r="A14" s="3" t="s">
        <v>1788</v>
      </c>
    </row>
    <row r="15" customFormat="false" ht="15" hidden="false" customHeight="false" outlineLevel="0" collapsed="false">
      <c r="A15" s="3" t="s">
        <v>1789</v>
      </c>
      <c r="B15" s="6" t="s">
        <v>1790</v>
      </c>
    </row>
    <row r="16" customFormat="false" ht="15" hidden="false" customHeight="false" outlineLevel="0" collapsed="false">
      <c r="A16" s="3" t="s">
        <v>9</v>
      </c>
      <c r="B16" s="6" t="s">
        <v>1791</v>
      </c>
    </row>
    <row r="17" customFormat="false" ht="15" hidden="false" customHeight="false" outlineLevel="0" collapsed="false">
      <c r="A17" s="3" t="s">
        <v>10</v>
      </c>
      <c r="B17" s="6" t="s">
        <v>1792</v>
      </c>
    </row>
    <row r="18" customFormat="false" ht="15" hidden="false" customHeight="false" outlineLevel="0" collapsed="false">
      <c r="A18" s="3" t="s">
        <v>11</v>
      </c>
      <c r="B18" s="6" t="s">
        <v>1793</v>
      </c>
    </row>
    <row r="19" customFormat="false" ht="15" hidden="false" customHeight="false" outlineLevel="0" collapsed="false">
      <c r="A19" s="3" t="s">
        <v>12</v>
      </c>
      <c r="B19" s="6" t="s">
        <v>1794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2026-09-25T10:38:34Z</dcterms:created>
  <dc:creator>openpyxl</dc:creator>
  <dc:description/>
  <dc:language>en-US</dc:language>
  <cp:lastModifiedBy/>
  <dcterms:modified xsi:type="dcterms:W3CDTF">2026-09-25T10:38:34Z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